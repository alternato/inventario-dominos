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ilioDroguett\OneDrive - Domino's Pizza Chile\Escritorio\WebInv\inventario-dominos\"/>
    </mc:Choice>
  </mc:AlternateContent>
  <xr:revisionPtr revIDLastSave="0" documentId="8_{DBC581CA-C70C-411B-891C-119E5670FE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🔍 Buscador" sheetId="1" r:id="rId1"/>
    <sheet name="Telefonía" sheetId="2" r:id="rId2"/>
    <sheet name="PC" sheetId="3" r:id="rId3"/>
    <sheet name="_Data" sheetId="4" state="hidden" r:id="rId4"/>
  </sheets>
  <definedNames>
    <definedName name="_xlnm._FilterDatabase" localSheetId="2" hidden="1">PC!$A$2:$O$112</definedName>
    <definedName name="_xlnm._FilterDatabase" localSheetId="1" hidden="1">Telefonía!$A$2:$G$61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 a="1"/>
  <c r="G51" i="1" s="1"/>
  <c r="F51" i="1" a="1"/>
  <c r="F51" i="1" s="1"/>
  <c r="E51" i="1" a="1"/>
  <c r="E51" i="1" s="1"/>
  <c r="D51" i="1" a="1"/>
  <c r="D51" i="1" s="1"/>
  <c r="C51" i="1" a="1"/>
  <c r="C51" i="1" s="1"/>
  <c r="B51" i="1" a="1"/>
  <c r="B51" i="1" s="1"/>
  <c r="A51" i="1" a="1"/>
  <c r="A51" i="1" s="1"/>
  <c r="G50" i="1" a="1"/>
  <c r="G50" i="1" s="1"/>
  <c r="F50" i="1" a="1"/>
  <c r="F50" i="1" s="1"/>
  <c r="E50" i="1" a="1"/>
  <c r="E50" i="1" s="1"/>
  <c r="D50" i="1" a="1"/>
  <c r="D50" i="1" s="1"/>
  <c r="C50" i="1" a="1"/>
  <c r="C50" i="1" s="1"/>
  <c r="B50" i="1" a="1"/>
  <c r="B50" i="1" s="1"/>
  <c r="A50" i="1" a="1"/>
  <c r="A50" i="1" s="1"/>
  <c r="G49" i="1" a="1"/>
  <c r="G49" i="1" s="1"/>
  <c r="F49" i="1" a="1"/>
  <c r="F49" i="1" s="1"/>
  <c r="E49" i="1" a="1"/>
  <c r="E49" i="1" s="1"/>
  <c r="D49" i="1" a="1"/>
  <c r="D49" i="1" s="1"/>
  <c r="C49" i="1" a="1"/>
  <c r="C49" i="1" s="1"/>
  <c r="B49" i="1" a="1"/>
  <c r="B49" i="1" s="1"/>
  <c r="A49" i="1" a="1"/>
  <c r="A49" i="1" s="1"/>
  <c r="G48" i="1" a="1"/>
  <c r="G48" i="1" s="1"/>
  <c r="F48" i="1" a="1"/>
  <c r="F48" i="1" s="1"/>
  <c r="E48" i="1" a="1"/>
  <c r="E48" i="1" s="1"/>
  <c r="D48" i="1" a="1"/>
  <c r="D48" i="1" s="1"/>
  <c r="C48" i="1" a="1"/>
  <c r="C48" i="1" s="1"/>
  <c r="B48" i="1" a="1"/>
  <c r="B48" i="1" s="1"/>
  <c r="A48" i="1" a="1"/>
  <c r="A48" i="1" s="1"/>
  <c r="G47" i="1" a="1"/>
  <c r="G47" i="1" s="1"/>
  <c r="F47" i="1" a="1"/>
  <c r="F47" i="1" s="1"/>
  <c r="E47" i="1" a="1"/>
  <c r="E47" i="1" s="1"/>
  <c r="D47" i="1" a="1"/>
  <c r="D47" i="1" s="1"/>
  <c r="C47" i="1" a="1"/>
  <c r="C47" i="1" s="1"/>
  <c r="B47" i="1" a="1"/>
  <c r="B47" i="1" s="1"/>
  <c r="A47" i="1" a="1"/>
  <c r="A47" i="1" s="1"/>
  <c r="G46" i="1" a="1"/>
  <c r="G46" i="1" s="1"/>
  <c r="F46" i="1" a="1"/>
  <c r="F46" i="1" s="1"/>
  <c r="E46" i="1" a="1"/>
  <c r="E46" i="1" s="1"/>
  <c r="D46" i="1" a="1"/>
  <c r="D46" i="1" s="1"/>
  <c r="C46" i="1" a="1"/>
  <c r="C46" i="1" s="1"/>
  <c r="B46" i="1" a="1"/>
  <c r="B46" i="1" s="1"/>
  <c r="A46" i="1" a="1"/>
  <c r="A46" i="1" s="1"/>
  <c r="G45" i="1" a="1"/>
  <c r="G45" i="1" s="1"/>
  <c r="F45" i="1" a="1"/>
  <c r="F45" i="1" s="1"/>
  <c r="E45" i="1" a="1"/>
  <c r="E45" i="1" s="1"/>
  <c r="D45" i="1" a="1"/>
  <c r="D45" i="1" s="1"/>
  <c r="C45" i="1" a="1"/>
  <c r="C45" i="1" s="1"/>
  <c r="B45" i="1" a="1"/>
  <c r="B45" i="1" s="1"/>
  <c r="A45" i="1" a="1"/>
  <c r="A45" i="1" s="1"/>
  <c r="G44" i="1" a="1"/>
  <c r="G44" i="1" s="1"/>
  <c r="F44" i="1" a="1"/>
  <c r="F44" i="1" s="1"/>
  <c r="E44" i="1" a="1"/>
  <c r="E44" i="1" s="1"/>
  <c r="D44" i="1" a="1"/>
  <c r="D44" i="1" s="1"/>
  <c r="C44" i="1" a="1"/>
  <c r="C44" i="1" s="1"/>
  <c r="B44" i="1" a="1"/>
  <c r="B44" i="1" s="1"/>
  <c r="A44" i="1" a="1"/>
  <c r="A44" i="1" s="1"/>
  <c r="G43" i="1" a="1"/>
  <c r="G43" i="1" s="1"/>
  <c r="F43" i="1" a="1"/>
  <c r="F43" i="1" s="1"/>
  <c r="E43" i="1" a="1"/>
  <c r="E43" i="1" s="1"/>
  <c r="D43" i="1" a="1"/>
  <c r="D43" i="1" s="1"/>
  <c r="C43" i="1" a="1"/>
  <c r="C43" i="1" s="1"/>
  <c r="B43" i="1" a="1"/>
  <c r="B43" i="1" s="1"/>
  <c r="A43" i="1" a="1"/>
  <c r="A43" i="1" s="1"/>
  <c r="G42" i="1" a="1"/>
  <c r="G42" i="1" s="1"/>
  <c r="F42" i="1" a="1"/>
  <c r="F42" i="1" s="1"/>
  <c r="E42" i="1" a="1"/>
  <c r="E42" i="1" s="1"/>
  <c r="D42" i="1" a="1"/>
  <c r="D42" i="1" s="1"/>
  <c r="C42" i="1" a="1"/>
  <c r="C42" i="1" s="1"/>
  <c r="B42" i="1" a="1"/>
  <c r="B42" i="1" s="1"/>
  <c r="A42" i="1" a="1"/>
  <c r="A42" i="1" s="1"/>
  <c r="G41" i="1" a="1"/>
  <c r="G41" i="1" s="1"/>
  <c r="F41" i="1" a="1"/>
  <c r="F41" i="1" s="1"/>
  <c r="E41" i="1" a="1"/>
  <c r="E41" i="1" s="1"/>
  <c r="D41" i="1" a="1"/>
  <c r="D41" i="1" s="1"/>
  <c r="C41" i="1" a="1"/>
  <c r="C41" i="1" s="1"/>
  <c r="B41" i="1" a="1"/>
  <c r="B41" i="1" s="1"/>
  <c r="A41" i="1" a="1"/>
  <c r="A41" i="1" s="1"/>
  <c r="G40" i="1" a="1"/>
  <c r="G40" i="1" s="1"/>
  <c r="F40" i="1" a="1"/>
  <c r="F40" i="1" s="1"/>
  <c r="E40" i="1" a="1"/>
  <c r="E40" i="1" s="1"/>
  <c r="D40" i="1" a="1"/>
  <c r="D40" i="1" s="1"/>
  <c r="C40" i="1" a="1"/>
  <c r="C40" i="1" s="1"/>
  <c r="B40" i="1" a="1"/>
  <c r="B40" i="1" s="1"/>
  <c r="A40" i="1" a="1"/>
  <c r="A40" i="1" s="1"/>
  <c r="G39" i="1" a="1"/>
  <c r="G39" i="1" s="1"/>
  <c r="F39" i="1" a="1"/>
  <c r="F39" i="1" s="1"/>
  <c r="E39" i="1" a="1"/>
  <c r="E39" i="1" s="1"/>
  <c r="D39" i="1" a="1"/>
  <c r="D39" i="1" s="1"/>
  <c r="C39" i="1" a="1"/>
  <c r="C39" i="1" s="1"/>
  <c r="B39" i="1" a="1"/>
  <c r="B39" i="1" s="1"/>
  <c r="A39" i="1" a="1"/>
  <c r="A39" i="1" s="1"/>
  <c r="G38" i="1" a="1"/>
  <c r="G38" i="1" s="1"/>
  <c r="F38" i="1" a="1"/>
  <c r="F38" i="1" s="1"/>
  <c r="E38" i="1" a="1"/>
  <c r="E38" i="1" s="1"/>
  <c r="D38" i="1" a="1"/>
  <c r="D38" i="1" s="1"/>
  <c r="C38" i="1" a="1"/>
  <c r="C38" i="1" s="1"/>
  <c r="B38" i="1" a="1"/>
  <c r="B38" i="1" s="1"/>
  <c r="A38" i="1" a="1"/>
  <c r="A38" i="1" s="1"/>
  <c r="G37" i="1" a="1"/>
  <c r="G37" i="1" s="1"/>
  <c r="F37" i="1" a="1"/>
  <c r="F37" i="1" s="1"/>
  <c r="E37" i="1" a="1"/>
  <c r="E37" i="1" s="1"/>
  <c r="D37" i="1" a="1"/>
  <c r="D37" i="1" s="1"/>
  <c r="C37" i="1" a="1"/>
  <c r="C37" i="1" s="1"/>
  <c r="B37" i="1" a="1"/>
  <c r="B37" i="1" s="1"/>
  <c r="A37" i="1" a="1"/>
  <c r="A37" i="1" s="1"/>
  <c r="G36" i="1" a="1"/>
  <c r="G36" i="1" s="1"/>
  <c r="F36" i="1" a="1"/>
  <c r="F36" i="1" s="1"/>
  <c r="E36" i="1" a="1"/>
  <c r="E36" i="1" s="1"/>
  <c r="D36" i="1" a="1"/>
  <c r="D36" i="1" s="1"/>
  <c r="C36" i="1" a="1"/>
  <c r="C36" i="1" s="1"/>
  <c r="B36" i="1" a="1"/>
  <c r="B36" i="1" s="1"/>
  <c r="A36" i="1" a="1"/>
  <c r="A36" i="1" s="1"/>
  <c r="G35" i="1" a="1"/>
  <c r="G35" i="1" s="1"/>
  <c r="F35" i="1" a="1"/>
  <c r="F35" i="1" s="1"/>
  <c r="E35" i="1" a="1"/>
  <c r="E35" i="1" s="1"/>
  <c r="D35" i="1" a="1"/>
  <c r="D35" i="1" s="1"/>
  <c r="C35" i="1" a="1"/>
  <c r="C35" i="1" s="1"/>
  <c r="B35" i="1" a="1"/>
  <c r="B35" i="1" s="1"/>
  <c r="A35" i="1" a="1"/>
  <c r="A35" i="1" s="1"/>
  <c r="G34" i="1" a="1"/>
  <c r="G34" i="1" s="1"/>
  <c r="F34" i="1" a="1"/>
  <c r="F34" i="1" s="1"/>
  <c r="E34" i="1" a="1"/>
  <c r="E34" i="1" s="1"/>
  <c r="D34" i="1" a="1"/>
  <c r="D34" i="1" s="1"/>
  <c r="C34" i="1" a="1"/>
  <c r="C34" i="1" s="1"/>
  <c r="B34" i="1" a="1"/>
  <c r="B34" i="1" s="1"/>
  <c r="A34" i="1" a="1"/>
  <c r="A34" i="1" s="1"/>
  <c r="G33" i="1" a="1"/>
  <c r="G33" i="1" s="1"/>
  <c r="F33" i="1" a="1"/>
  <c r="F33" i="1" s="1"/>
  <c r="E33" i="1" a="1"/>
  <c r="E33" i="1" s="1"/>
  <c r="D33" i="1" a="1"/>
  <c r="D33" i="1" s="1"/>
  <c r="C33" i="1" a="1"/>
  <c r="C33" i="1" s="1"/>
  <c r="B33" i="1" a="1"/>
  <c r="B33" i="1" s="1"/>
  <c r="A33" i="1" a="1"/>
  <c r="A33" i="1" s="1"/>
  <c r="G32" i="1" a="1"/>
  <c r="G32" i="1" s="1"/>
  <c r="F32" i="1" a="1"/>
  <c r="F32" i="1" s="1"/>
  <c r="E32" i="1" a="1"/>
  <c r="E32" i="1" s="1"/>
  <c r="D32" i="1" a="1"/>
  <c r="D32" i="1" s="1"/>
  <c r="C32" i="1" a="1"/>
  <c r="C32" i="1" s="1"/>
  <c r="B32" i="1" a="1"/>
  <c r="B32" i="1" s="1"/>
  <c r="A32" i="1" a="1"/>
  <c r="A32" i="1" s="1"/>
  <c r="O28" i="1" a="1"/>
  <c r="O28" i="1" s="1"/>
  <c r="N28" i="1" a="1"/>
  <c r="N28" i="1" s="1"/>
  <c r="M28" i="1" a="1"/>
  <c r="M28" i="1" s="1"/>
  <c r="L28" i="1" a="1"/>
  <c r="L28" i="1" s="1"/>
  <c r="K28" i="1" a="1"/>
  <c r="K28" i="1" s="1"/>
  <c r="J28" i="1" a="1"/>
  <c r="J28" i="1" s="1"/>
  <c r="I28" i="1" a="1"/>
  <c r="I28" i="1" s="1"/>
  <c r="H28" i="1" a="1"/>
  <c r="H28" i="1" s="1"/>
  <c r="G28" i="1" a="1"/>
  <c r="G28" i="1" s="1"/>
  <c r="F28" i="1" a="1"/>
  <c r="F28" i="1" s="1"/>
  <c r="E28" i="1" a="1"/>
  <c r="E28" i="1" s="1"/>
  <c r="D28" i="1" a="1"/>
  <c r="D28" i="1" s="1"/>
  <c r="C28" i="1" a="1"/>
  <c r="C28" i="1" s="1"/>
  <c r="B28" i="1" a="1"/>
  <c r="B28" i="1" s="1"/>
  <c r="A28" i="1" a="1"/>
  <c r="A28" i="1" s="1"/>
  <c r="O27" i="1" a="1"/>
  <c r="O27" i="1" s="1"/>
  <c r="N27" i="1" a="1"/>
  <c r="N27" i="1" s="1"/>
  <c r="M27" i="1" a="1"/>
  <c r="M27" i="1" s="1"/>
  <c r="L27" i="1" a="1"/>
  <c r="L27" i="1" s="1"/>
  <c r="K27" i="1" a="1"/>
  <c r="K27" i="1" s="1"/>
  <c r="J27" i="1" a="1"/>
  <c r="J27" i="1" s="1"/>
  <c r="I27" i="1" a="1"/>
  <c r="I27" i="1" s="1"/>
  <c r="H27" i="1" a="1"/>
  <c r="H27" i="1" s="1"/>
  <c r="G27" i="1" a="1"/>
  <c r="G27" i="1" s="1"/>
  <c r="F27" i="1" a="1"/>
  <c r="F27" i="1" s="1"/>
  <c r="E27" i="1" a="1"/>
  <c r="E27" i="1" s="1"/>
  <c r="D27" i="1" a="1"/>
  <c r="D27" i="1" s="1"/>
  <c r="C27" i="1" a="1"/>
  <c r="C27" i="1" s="1"/>
  <c r="B27" i="1" a="1"/>
  <c r="B27" i="1" s="1"/>
  <c r="A27" i="1" a="1"/>
  <c r="A27" i="1" s="1"/>
  <c r="O26" i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G26" i="1" a="1"/>
  <c r="G26" i="1" s="1"/>
  <c r="F26" i="1" a="1"/>
  <c r="F26" i="1" s="1"/>
  <c r="E26" i="1" a="1"/>
  <c r="E26" i="1" s="1"/>
  <c r="D26" i="1" a="1"/>
  <c r="D26" i="1" s="1"/>
  <c r="C26" i="1" a="1"/>
  <c r="C26" i="1" s="1"/>
  <c r="B26" i="1" a="1"/>
  <c r="B26" i="1" s="1"/>
  <c r="A26" i="1" a="1"/>
  <c r="A26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G25" i="1" a="1"/>
  <c r="G25" i="1" s="1"/>
  <c r="F25" i="1" a="1"/>
  <c r="F25" i="1" s="1"/>
  <c r="E25" i="1" a="1"/>
  <c r="E25" i="1" s="1"/>
  <c r="D25" i="1" a="1"/>
  <c r="D25" i="1" s="1"/>
  <c r="C25" i="1" a="1"/>
  <c r="C25" i="1" s="1"/>
  <c r="B25" i="1" a="1"/>
  <c r="B25" i="1" s="1"/>
  <c r="A25" i="1" a="1"/>
  <c r="A25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H24" i="1" a="1"/>
  <c r="H24" i="1" s="1"/>
  <c r="G24" i="1" a="1"/>
  <c r="G24" i="1" s="1"/>
  <c r="F24" i="1" a="1"/>
  <c r="F24" i="1" s="1"/>
  <c r="E24" i="1" a="1"/>
  <c r="E24" i="1" s="1"/>
  <c r="D24" i="1" a="1"/>
  <c r="D24" i="1" s="1"/>
  <c r="C24" i="1" a="1"/>
  <c r="C24" i="1" s="1"/>
  <c r="B24" i="1" a="1"/>
  <c r="B24" i="1" s="1"/>
  <c r="A24" i="1" a="1"/>
  <c r="A24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H23" i="1" a="1"/>
  <c r="H23" i="1" s="1"/>
  <c r="G23" i="1" a="1"/>
  <c r="G23" i="1" s="1"/>
  <c r="F23" i="1" a="1"/>
  <c r="F23" i="1" s="1"/>
  <c r="E23" i="1" a="1"/>
  <c r="E23" i="1" s="1"/>
  <c r="D23" i="1" a="1"/>
  <c r="D23" i="1" s="1"/>
  <c r="C23" i="1" a="1"/>
  <c r="C23" i="1" s="1"/>
  <c r="B23" i="1" a="1"/>
  <c r="B23" i="1" s="1"/>
  <c r="A23" i="1" a="1"/>
  <c r="A23" i="1" s="1"/>
  <c r="O22" i="1" a="1"/>
  <c r="O22" i="1" s="1"/>
  <c r="N22" i="1" a="1"/>
  <c r="N22" i="1" s="1"/>
  <c r="M22" i="1" a="1"/>
  <c r="M22" i="1" s="1"/>
  <c r="L22" i="1" a="1"/>
  <c r="L22" i="1" s="1"/>
  <c r="K22" i="1" a="1"/>
  <c r="K22" i="1" s="1"/>
  <c r="J22" i="1" a="1"/>
  <c r="J22" i="1" s="1"/>
  <c r="I22" i="1" a="1"/>
  <c r="I22" i="1" s="1"/>
  <c r="H22" i="1" a="1"/>
  <c r="H22" i="1" s="1"/>
  <c r="G22" i="1" a="1"/>
  <c r="G22" i="1" s="1"/>
  <c r="F22" i="1" a="1"/>
  <c r="F22" i="1" s="1"/>
  <c r="E22" i="1" a="1"/>
  <c r="E22" i="1" s="1"/>
  <c r="D22" i="1" a="1"/>
  <c r="D22" i="1" s="1"/>
  <c r="C22" i="1" a="1"/>
  <c r="C22" i="1" s="1"/>
  <c r="B22" i="1" a="1"/>
  <c r="B22" i="1" s="1"/>
  <c r="A22" i="1" a="1"/>
  <c r="A22" i="1" s="1"/>
  <c r="O21" i="1" a="1"/>
  <c r="O21" i="1" s="1"/>
  <c r="N21" i="1" a="1"/>
  <c r="N21" i="1" s="1"/>
  <c r="M21" i="1" a="1"/>
  <c r="M21" i="1" s="1"/>
  <c r="L21" i="1" a="1"/>
  <c r="L21" i="1" s="1"/>
  <c r="K21" i="1" a="1"/>
  <c r="K21" i="1" s="1"/>
  <c r="J21" i="1" a="1"/>
  <c r="J21" i="1" s="1"/>
  <c r="I21" i="1" a="1"/>
  <c r="I21" i="1" s="1"/>
  <c r="H21" i="1" a="1"/>
  <c r="H21" i="1" s="1"/>
  <c r="G21" i="1" a="1"/>
  <c r="G21" i="1" s="1"/>
  <c r="F21" i="1" a="1"/>
  <c r="F21" i="1" s="1"/>
  <c r="E21" i="1" a="1"/>
  <c r="E21" i="1" s="1"/>
  <c r="D21" i="1" a="1"/>
  <c r="D21" i="1" s="1"/>
  <c r="C21" i="1" a="1"/>
  <c r="C21" i="1" s="1"/>
  <c r="B21" i="1" a="1"/>
  <c r="B21" i="1" s="1"/>
  <c r="A21" i="1" a="1"/>
  <c r="A21" i="1" s="1"/>
  <c r="O20" i="1" a="1"/>
  <c r="O20" i="1" s="1"/>
  <c r="N20" i="1" a="1"/>
  <c r="N20" i="1" s="1"/>
  <c r="M20" i="1" a="1"/>
  <c r="M20" i="1" s="1"/>
  <c r="L20" i="1" a="1"/>
  <c r="L20" i="1" s="1"/>
  <c r="K20" i="1" a="1"/>
  <c r="K20" i="1" s="1"/>
  <c r="J20" i="1" a="1"/>
  <c r="J20" i="1" s="1"/>
  <c r="I20" i="1" a="1"/>
  <c r="I20" i="1" s="1"/>
  <c r="H20" i="1" a="1"/>
  <c r="H20" i="1" s="1"/>
  <c r="G20" i="1" a="1"/>
  <c r="G20" i="1" s="1"/>
  <c r="F20" i="1" a="1"/>
  <c r="F20" i="1" s="1"/>
  <c r="E20" i="1" a="1"/>
  <c r="E20" i="1" s="1"/>
  <c r="D20" i="1" a="1"/>
  <c r="D20" i="1" s="1"/>
  <c r="C20" i="1" a="1"/>
  <c r="C20" i="1" s="1"/>
  <c r="B20" i="1" a="1"/>
  <c r="B20" i="1" s="1"/>
  <c r="A20" i="1" a="1"/>
  <c r="A20" i="1" s="1"/>
  <c r="O19" i="1" a="1"/>
  <c r="O19" i="1" s="1"/>
  <c r="N19" i="1" a="1"/>
  <c r="N19" i="1" s="1"/>
  <c r="M19" i="1" a="1"/>
  <c r="M19" i="1" s="1"/>
  <c r="L19" i="1" a="1"/>
  <c r="L19" i="1" s="1"/>
  <c r="K19" i="1" a="1"/>
  <c r="K19" i="1" s="1"/>
  <c r="J19" i="1" a="1"/>
  <c r="J19" i="1" s="1"/>
  <c r="I19" i="1" a="1"/>
  <c r="I19" i="1" s="1"/>
  <c r="H19" i="1" a="1"/>
  <c r="H19" i="1" s="1"/>
  <c r="G19" i="1" a="1"/>
  <c r="G19" i="1" s="1"/>
  <c r="F19" i="1" a="1"/>
  <c r="F19" i="1" s="1"/>
  <c r="E19" i="1" a="1"/>
  <c r="E19" i="1" s="1"/>
  <c r="D19" i="1" a="1"/>
  <c r="D19" i="1" s="1"/>
  <c r="C19" i="1" a="1"/>
  <c r="C19" i="1" s="1"/>
  <c r="B19" i="1" a="1"/>
  <c r="B19" i="1" s="1"/>
  <c r="A19" i="1" a="1"/>
  <c r="A19" i="1" s="1"/>
  <c r="O18" i="1" a="1"/>
  <c r="O18" i="1" s="1"/>
  <c r="N18" i="1" a="1"/>
  <c r="N18" i="1" s="1"/>
  <c r="M18" i="1" a="1"/>
  <c r="M18" i="1" s="1"/>
  <c r="L18" i="1" a="1"/>
  <c r="L18" i="1" s="1"/>
  <c r="K18" i="1" a="1"/>
  <c r="K18" i="1" s="1"/>
  <c r="J18" i="1" a="1"/>
  <c r="J18" i="1" s="1"/>
  <c r="I18" i="1" a="1"/>
  <c r="I18" i="1" s="1"/>
  <c r="H18" i="1" a="1"/>
  <c r="H18" i="1" s="1"/>
  <c r="G18" i="1" a="1"/>
  <c r="G18" i="1" s="1"/>
  <c r="F18" i="1" a="1"/>
  <c r="F18" i="1" s="1"/>
  <c r="E18" i="1" a="1"/>
  <c r="E18" i="1" s="1"/>
  <c r="D18" i="1" a="1"/>
  <c r="D18" i="1" s="1"/>
  <c r="C18" i="1" a="1"/>
  <c r="C18" i="1" s="1"/>
  <c r="B18" i="1" a="1"/>
  <c r="B18" i="1" s="1"/>
  <c r="A18" i="1" a="1"/>
  <c r="A18" i="1" s="1"/>
  <c r="O17" i="1" a="1"/>
  <c r="O17" i="1" s="1"/>
  <c r="N17" i="1" a="1"/>
  <c r="N17" i="1" s="1"/>
  <c r="M17" i="1" a="1"/>
  <c r="M17" i="1" s="1"/>
  <c r="L17" i="1" a="1"/>
  <c r="L17" i="1" s="1"/>
  <c r="K17" i="1" a="1"/>
  <c r="K17" i="1" s="1"/>
  <c r="J17" i="1" a="1"/>
  <c r="J17" i="1" s="1"/>
  <c r="I17" i="1" a="1"/>
  <c r="I17" i="1" s="1"/>
  <c r="H17" i="1" a="1"/>
  <c r="H17" i="1" s="1"/>
  <c r="G17" i="1" a="1"/>
  <c r="G17" i="1" s="1"/>
  <c r="F17" i="1" a="1"/>
  <c r="F17" i="1" s="1"/>
  <c r="E17" i="1" a="1"/>
  <c r="E17" i="1" s="1"/>
  <c r="D17" i="1" a="1"/>
  <c r="D17" i="1" s="1"/>
  <c r="C17" i="1" a="1"/>
  <c r="C17" i="1" s="1"/>
  <c r="B17" i="1" a="1"/>
  <c r="B17" i="1" s="1"/>
  <c r="A17" i="1" a="1"/>
  <c r="A17" i="1" s="1"/>
  <c r="O16" i="1" a="1"/>
  <c r="O16" i="1" s="1"/>
  <c r="N16" i="1" a="1"/>
  <c r="N16" i="1" s="1"/>
  <c r="M16" i="1" a="1"/>
  <c r="M16" i="1" s="1"/>
  <c r="L16" i="1" a="1"/>
  <c r="L16" i="1" s="1"/>
  <c r="K16" i="1" a="1"/>
  <c r="K16" i="1" s="1"/>
  <c r="J16" i="1" a="1"/>
  <c r="J16" i="1" s="1"/>
  <c r="I16" i="1" a="1"/>
  <c r="I16" i="1" s="1"/>
  <c r="H16" i="1" a="1"/>
  <c r="H16" i="1" s="1"/>
  <c r="G16" i="1" a="1"/>
  <c r="G16" i="1" s="1"/>
  <c r="F16" i="1" a="1"/>
  <c r="F16" i="1" s="1"/>
  <c r="E16" i="1" a="1"/>
  <c r="E16" i="1" s="1"/>
  <c r="D16" i="1" a="1"/>
  <c r="D16" i="1" s="1"/>
  <c r="C16" i="1" a="1"/>
  <c r="C16" i="1" s="1"/>
  <c r="B16" i="1" a="1"/>
  <c r="B16" i="1" s="1"/>
  <c r="A16" i="1" a="1"/>
  <c r="A16" i="1" s="1"/>
  <c r="O15" i="1" a="1"/>
  <c r="O15" i="1" s="1"/>
  <c r="N15" i="1" a="1"/>
  <c r="N15" i="1" s="1"/>
  <c r="M15" i="1" a="1"/>
  <c r="M15" i="1" s="1"/>
  <c r="L15" i="1" a="1"/>
  <c r="L15" i="1" s="1"/>
  <c r="K15" i="1" a="1"/>
  <c r="K15" i="1" s="1"/>
  <c r="J15" i="1" a="1"/>
  <c r="J15" i="1" s="1"/>
  <c r="I15" i="1" a="1"/>
  <c r="I15" i="1" s="1"/>
  <c r="H15" i="1" a="1"/>
  <c r="H15" i="1" s="1"/>
  <c r="G15" i="1" a="1"/>
  <c r="G15" i="1" s="1"/>
  <c r="F15" i="1" a="1"/>
  <c r="F15" i="1" s="1"/>
  <c r="E15" i="1" a="1"/>
  <c r="E15" i="1" s="1"/>
  <c r="D15" i="1" a="1"/>
  <c r="D15" i="1" s="1"/>
  <c r="C15" i="1" a="1"/>
  <c r="C15" i="1" s="1"/>
  <c r="B15" i="1" a="1"/>
  <c r="B15" i="1" s="1"/>
  <c r="A15" i="1" a="1"/>
  <c r="A15" i="1" s="1"/>
  <c r="O14" i="1" a="1"/>
  <c r="O14" i="1" s="1"/>
  <c r="N14" i="1" a="1"/>
  <c r="N14" i="1" s="1"/>
  <c r="M14" i="1" a="1"/>
  <c r="M14" i="1" s="1"/>
  <c r="L14" i="1" a="1"/>
  <c r="L14" i="1" s="1"/>
  <c r="K14" i="1" a="1"/>
  <c r="K14" i="1" s="1"/>
  <c r="J14" i="1" a="1"/>
  <c r="J14" i="1" s="1"/>
  <c r="I14" i="1" a="1"/>
  <c r="I14" i="1" s="1"/>
  <c r="H14" i="1" a="1"/>
  <c r="H14" i="1" s="1"/>
  <c r="G14" i="1" a="1"/>
  <c r="G14" i="1" s="1"/>
  <c r="F14" i="1" a="1"/>
  <c r="F14" i="1" s="1"/>
  <c r="E14" i="1" a="1"/>
  <c r="E14" i="1" s="1"/>
  <c r="D14" i="1" a="1"/>
  <c r="D14" i="1" s="1"/>
  <c r="C14" i="1" a="1"/>
  <c r="C14" i="1" s="1"/>
  <c r="B14" i="1" a="1"/>
  <c r="B14" i="1" s="1"/>
  <c r="A14" i="1" a="1"/>
  <c r="A14" i="1" s="1"/>
  <c r="O13" i="1" a="1"/>
  <c r="O13" i="1" s="1"/>
  <c r="N13" i="1" a="1"/>
  <c r="N13" i="1" s="1"/>
  <c r="M13" i="1" a="1"/>
  <c r="M13" i="1" s="1"/>
  <c r="L13" i="1" a="1"/>
  <c r="L13" i="1" s="1"/>
  <c r="K13" i="1" a="1"/>
  <c r="K13" i="1" s="1"/>
  <c r="J13" i="1" a="1"/>
  <c r="J13" i="1" s="1"/>
  <c r="I13" i="1" a="1"/>
  <c r="I13" i="1" s="1"/>
  <c r="H13" i="1" a="1"/>
  <c r="H13" i="1" s="1"/>
  <c r="G13" i="1" a="1"/>
  <c r="G13" i="1" s="1"/>
  <c r="F13" i="1" a="1"/>
  <c r="F13" i="1" s="1"/>
  <c r="E13" i="1" a="1"/>
  <c r="E13" i="1" s="1"/>
  <c r="D13" i="1" a="1"/>
  <c r="D13" i="1" s="1"/>
  <c r="C13" i="1" a="1"/>
  <c r="C13" i="1" s="1"/>
  <c r="B13" i="1" a="1"/>
  <c r="B13" i="1" s="1"/>
  <c r="A13" i="1" a="1"/>
  <c r="A13" i="1" s="1"/>
  <c r="O12" i="1" a="1"/>
  <c r="O12" i="1" s="1"/>
  <c r="N12" i="1" a="1"/>
  <c r="N12" i="1" s="1"/>
  <c r="M12" i="1" a="1"/>
  <c r="M12" i="1" s="1"/>
  <c r="L12" i="1" a="1"/>
  <c r="L12" i="1" s="1"/>
  <c r="K12" i="1" a="1"/>
  <c r="K12" i="1" s="1"/>
  <c r="J12" i="1" a="1"/>
  <c r="J12" i="1" s="1"/>
  <c r="I12" i="1" a="1"/>
  <c r="I12" i="1" s="1"/>
  <c r="H12" i="1" a="1"/>
  <c r="H12" i="1" s="1"/>
  <c r="G12" i="1" a="1"/>
  <c r="G12" i="1" s="1"/>
  <c r="F12" i="1" a="1"/>
  <c r="F12" i="1" s="1"/>
  <c r="E12" i="1" a="1"/>
  <c r="E12" i="1" s="1"/>
  <c r="D12" i="1" a="1"/>
  <c r="D12" i="1" s="1"/>
  <c r="C12" i="1" a="1"/>
  <c r="C12" i="1" s="1"/>
  <c r="B12" i="1" a="1"/>
  <c r="B12" i="1" s="1"/>
  <c r="A12" i="1" a="1"/>
  <c r="A12" i="1" s="1"/>
  <c r="O11" i="1" a="1"/>
  <c r="O11" i="1" s="1"/>
  <c r="N11" i="1" a="1"/>
  <c r="N11" i="1" s="1"/>
  <c r="M11" i="1" a="1"/>
  <c r="M11" i="1" s="1"/>
  <c r="L11" i="1" a="1"/>
  <c r="L11" i="1" s="1"/>
  <c r="K11" i="1" a="1"/>
  <c r="K11" i="1" s="1"/>
  <c r="J11" i="1" a="1"/>
  <c r="J11" i="1" s="1"/>
  <c r="I11" i="1" a="1"/>
  <c r="I11" i="1" s="1"/>
  <c r="H11" i="1" a="1"/>
  <c r="H11" i="1" s="1"/>
  <c r="G11" i="1" a="1"/>
  <c r="G11" i="1" s="1"/>
  <c r="F11" i="1" a="1"/>
  <c r="F11" i="1" s="1"/>
  <c r="E11" i="1" a="1"/>
  <c r="E11" i="1" s="1"/>
  <c r="D11" i="1" a="1"/>
  <c r="D11" i="1" s="1"/>
  <c r="C11" i="1" a="1"/>
  <c r="C11" i="1" s="1"/>
  <c r="B11" i="1" a="1"/>
  <c r="B11" i="1" s="1"/>
  <c r="A11" i="1" a="1"/>
  <c r="A11" i="1" s="1"/>
  <c r="O10" i="1" a="1"/>
  <c r="O10" i="1" s="1"/>
  <c r="N10" i="1" a="1"/>
  <c r="N10" i="1" s="1"/>
  <c r="M10" i="1" a="1"/>
  <c r="M10" i="1" s="1"/>
  <c r="L10" i="1" a="1"/>
  <c r="L10" i="1" s="1"/>
  <c r="K10" i="1" a="1"/>
  <c r="K10" i="1" s="1"/>
  <c r="J10" i="1" a="1"/>
  <c r="J10" i="1" s="1"/>
  <c r="I10" i="1" a="1"/>
  <c r="I10" i="1" s="1"/>
  <c r="H10" i="1" a="1"/>
  <c r="H10" i="1" s="1"/>
  <c r="G10" i="1" a="1"/>
  <c r="G10" i="1" s="1"/>
  <c r="F10" i="1" a="1"/>
  <c r="F10" i="1" s="1"/>
  <c r="E10" i="1" a="1"/>
  <c r="E10" i="1" s="1"/>
  <c r="D10" i="1" a="1"/>
  <c r="D10" i="1" s="1"/>
  <c r="C10" i="1" a="1"/>
  <c r="C10" i="1" s="1"/>
  <c r="B10" i="1" a="1"/>
  <c r="B10" i="1" s="1"/>
  <c r="A10" i="1" a="1"/>
  <c r="A10" i="1" s="1"/>
  <c r="O9" i="1" a="1"/>
  <c r="O9" i="1" s="1"/>
  <c r="N9" i="1" a="1"/>
  <c r="N9" i="1" s="1"/>
  <c r="M9" i="1" a="1"/>
  <c r="M9" i="1" s="1"/>
  <c r="L9" i="1" a="1"/>
  <c r="L9" i="1" s="1"/>
  <c r="K9" i="1" a="1"/>
  <c r="K9" i="1" s="1"/>
  <c r="J9" i="1" a="1"/>
  <c r="J9" i="1" s="1"/>
  <c r="I9" i="1" a="1"/>
  <c r="I9" i="1" s="1"/>
  <c r="H9" i="1" a="1"/>
  <c r="H9" i="1" s="1"/>
  <c r="G9" i="1" a="1"/>
  <c r="G9" i="1" s="1"/>
  <c r="F9" i="1" a="1"/>
  <c r="F9" i="1" s="1"/>
  <c r="E9" i="1" a="1"/>
  <c r="E9" i="1" s="1"/>
  <c r="D9" i="1" a="1"/>
  <c r="D9" i="1" s="1"/>
  <c r="C9" i="1" a="1"/>
  <c r="C9" i="1" s="1"/>
  <c r="B9" i="1" a="1"/>
  <c r="B9" i="1" s="1"/>
  <c r="A9" i="1" a="1"/>
  <c r="A9" i="1" s="1"/>
</calcChain>
</file>

<file path=xl/sharedStrings.xml><?xml version="1.0" encoding="utf-8"?>
<sst xmlns="http://schemas.openxmlformats.org/spreadsheetml/2006/main" count="3681" uniqueCount="726">
  <si>
    <t>🔍   BUSCADOR DE INVENTARIO TI</t>
  </si>
  <si>
    <t>🔎  Buscar por nombre / usuario:</t>
  </si>
  <si>
    <t xml:space="preserve">  ✏️ Escribe aquí el nombre de la persona</t>
  </si>
  <si>
    <t>💻  Resultados — PC</t>
  </si>
  <si>
    <t>Rut</t>
  </si>
  <si>
    <t>Persona</t>
  </si>
  <si>
    <t>Fecha Entrega</t>
  </si>
  <si>
    <t>Estado</t>
  </si>
  <si>
    <t>Área</t>
  </si>
  <si>
    <t>Ubicación</t>
  </si>
  <si>
    <t>Marca</t>
  </si>
  <si>
    <t>Modelo</t>
  </si>
  <si>
    <t>Nº de Serie</t>
  </si>
  <si>
    <t>Doc. Firmado</t>
  </si>
  <si>
    <t>Mochila</t>
  </si>
  <si>
    <t>Cargador</t>
  </si>
  <si>
    <t>Entrega Informática</t>
  </si>
  <si>
    <t>Entrega Usuario</t>
  </si>
  <si>
    <t>Observaciones</t>
  </si>
  <si>
    <t>📱  Resultados — Telefonía</t>
  </si>
  <si>
    <t>Usuario</t>
  </si>
  <si>
    <t>N° Teléfono</t>
  </si>
  <si>
    <t>Compañía</t>
  </si>
  <si>
    <t>Equipo</t>
  </si>
  <si>
    <t>IMEI/ICCID</t>
  </si>
  <si>
    <t>Observacion</t>
  </si>
  <si>
    <t>📱  INVENTARIO TELEFONÍA</t>
  </si>
  <si>
    <t>Giselle Rosales</t>
  </si>
  <si>
    <t>56941127502</t>
  </si>
  <si>
    <t>Claro</t>
  </si>
  <si>
    <t>Samsung  Galaxy A22</t>
  </si>
  <si>
    <t>353325955457688</t>
  </si>
  <si>
    <t>Finanzas</t>
  </si>
  <si>
    <t>Patricia Bustos</t>
  </si>
  <si>
    <t>56996407624</t>
  </si>
  <si>
    <t>Motorola E13</t>
  </si>
  <si>
    <t>357521205244183</t>
  </si>
  <si>
    <t>RRHH</t>
  </si>
  <si>
    <t>Nicole Torres</t>
  </si>
  <si>
    <t>56950000761</t>
  </si>
  <si>
    <t>Iphone 11</t>
  </si>
  <si>
    <t>356811119825230</t>
  </si>
  <si>
    <t>Jean Paul</t>
  </si>
  <si>
    <t>56947081292</t>
  </si>
  <si>
    <t>Celular propio</t>
  </si>
  <si>
    <t>356532963895810</t>
  </si>
  <si>
    <t>MKT</t>
  </si>
  <si>
    <t>Leonel Rojas</t>
  </si>
  <si>
    <t>56968490485</t>
  </si>
  <si>
    <t>353325956071207</t>
  </si>
  <si>
    <t>Zonal</t>
  </si>
  <si>
    <t>Chanel Salazar</t>
  </si>
  <si>
    <t>56941130516</t>
  </si>
  <si>
    <t>353325955453810</t>
  </si>
  <si>
    <t>Gerente local</t>
  </si>
  <si>
    <t>Capacitacion</t>
  </si>
  <si>
    <t>56964958620</t>
  </si>
  <si>
    <t>Ex Evelyn Barrera/ No tiene buzon de voz ni wsp</t>
  </si>
  <si>
    <t>Rodrigo Garcia</t>
  </si>
  <si>
    <t>56963346017</t>
  </si>
  <si>
    <t>Ex Erick Giraldo/ se llamó y no contestó. No tiene wsp</t>
  </si>
  <si>
    <t>Andrea Parisca</t>
  </si>
  <si>
    <t>56993430683</t>
  </si>
  <si>
    <t>Celular no detecta ICCID de la sim</t>
  </si>
  <si>
    <t>Call center</t>
  </si>
  <si>
    <t>Cristian Parada</t>
  </si>
  <si>
    <t>56991608483</t>
  </si>
  <si>
    <t>Samsung  Galaxy A14</t>
  </si>
  <si>
    <t>35054264592800</t>
  </si>
  <si>
    <t>Prevencion de riesgos</t>
  </si>
  <si>
    <t>Mariangela Aranguren</t>
  </si>
  <si>
    <t>56963346093</t>
  </si>
  <si>
    <t>357521205245305</t>
  </si>
  <si>
    <t>Compras</t>
  </si>
  <si>
    <t>Jefran Valecillos</t>
  </si>
  <si>
    <t>56968422358</t>
  </si>
  <si>
    <t>Gerente operaciones</t>
  </si>
  <si>
    <t>Marcela Lillo</t>
  </si>
  <si>
    <t>56950000373</t>
  </si>
  <si>
    <t>Motorola G05</t>
  </si>
  <si>
    <t>359488352152643</t>
  </si>
  <si>
    <t>Ex Nicole Echeverria</t>
  </si>
  <si>
    <t>Nicolas Moya</t>
  </si>
  <si>
    <t>56950000772</t>
  </si>
  <si>
    <t>8956030215875618816</t>
  </si>
  <si>
    <t>Informatica</t>
  </si>
  <si>
    <t>Melissa Cunza</t>
  </si>
  <si>
    <t>56990234718</t>
  </si>
  <si>
    <t>351174770524955</t>
  </si>
  <si>
    <t>Gerenta RRHH</t>
  </si>
  <si>
    <t>Ricardo San Martin</t>
  </si>
  <si>
    <t>56976560604</t>
  </si>
  <si>
    <t>Iphone XR</t>
  </si>
  <si>
    <t>DX3FJ828KXK1</t>
  </si>
  <si>
    <t>Auditoria</t>
  </si>
  <si>
    <t>Patricio Castillo</t>
  </si>
  <si>
    <t>56976560560</t>
  </si>
  <si>
    <t>359358947490669</t>
  </si>
  <si>
    <t xml:space="preserve">Mantencion </t>
  </si>
  <si>
    <t>Juan Carlos Varea</t>
  </si>
  <si>
    <t>56964958619</t>
  </si>
  <si>
    <t>Motorola G35 256G</t>
  </si>
  <si>
    <t>356304136221963</t>
  </si>
  <si>
    <t>Ex colaborador</t>
  </si>
  <si>
    <t>Aracely Aviles</t>
  </si>
  <si>
    <t>56981644643</t>
  </si>
  <si>
    <t xml:space="preserve"> Iphone XR (roto), pero usa personal</t>
  </si>
  <si>
    <t>8956034253031710720</t>
  </si>
  <si>
    <t>Commissary</t>
  </si>
  <si>
    <t>Magdalena Soldati</t>
  </si>
  <si>
    <t>56992298821</t>
  </si>
  <si>
    <t>Permiso administrativo</t>
  </si>
  <si>
    <t>Matias Sandoval</t>
  </si>
  <si>
    <t>56956420464</t>
  </si>
  <si>
    <t>Motorola G35 256GB</t>
  </si>
  <si>
    <t>356304136333479</t>
  </si>
  <si>
    <t>Camila Najle</t>
  </si>
  <si>
    <t>56956395706</t>
  </si>
  <si>
    <t>35054264569055</t>
  </si>
  <si>
    <t>Calidad</t>
  </si>
  <si>
    <t>Darwin Flores</t>
  </si>
  <si>
    <t>56968750172</t>
  </si>
  <si>
    <t>Galaxy A14</t>
  </si>
  <si>
    <t>352054264573511</t>
  </si>
  <si>
    <t>Emilio Droguett</t>
  </si>
  <si>
    <t>56981645436</t>
  </si>
  <si>
    <t>353200652142307</t>
  </si>
  <si>
    <t>informatica</t>
  </si>
  <si>
    <t>Trinidad Garcia</t>
  </si>
  <si>
    <t>56990234727</t>
  </si>
  <si>
    <t>Galaxy A22</t>
  </si>
  <si>
    <t>352225955462126</t>
  </si>
  <si>
    <t>Gerenta Finanzas</t>
  </si>
  <si>
    <t>German Echesuri</t>
  </si>
  <si>
    <t>56964322186</t>
  </si>
  <si>
    <t>353400795934830</t>
  </si>
  <si>
    <t xml:space="preserve">Control de Gestion </t>
  </si>
  <si>
    <t>Yexy Oliva</t>
  </si>
  <si>
    <t>56983325804</t>
  </si>
  <si>
    <t>Motorola G35</t>
  </si>
  <si>
    <t>356304137088379</t>
  </si>
  <si>
    <t>Marlon Ferrada</t>
  </si>
  <si>
    <t>56946470632</t>
  </si>
  <si>
    <t>352054264570947</t>
  </si>
  <si>
    <t>Andrea Hidalgo</t>
  </si>
  <si>
    <t>56946382799</t>
  </si>
  <si>
    <t>Galaxy A32</t>
  </si>
  <si>
    <t>350257391768688</t>
  </si>
  <si>
    <t>Paulina Rozas</t>
  </si>
  <si>
    <t>56950021464</t>
  </si>
  <si>
    <t>SAC</t>
  </si>
  <si>
    <t>56978977656</t>
  </si>
  <si>
    <t>Paulina/empresa externa</t>
  </si>
  <si>
    <t>Valparaiso</t>
  </si>
  <si>
    <t>56954522837</t>
  </si>
  <si>
    <t>FEXT</t>
  </si>
  <si>
    <t>356369480503027</t>
  </si>
  <si>
    <t>Ex Katherine Atias</t>
  </si>
  <si>
    <t>Roberto Loyola</t>
  </si>
  <si>
    <t>56934598991</t>
  </si>
  <si>
    <t>Celular Propio</t>
  </si>
  <si>
    <t>8956030234956249088</t>
  </si>
  <si>
    <t>Roberto Lagos</t>
  </si>
  <si>
    <t>56986019701</t>
  </si>
  <si>
    <t>352054264581787</t>
  </si>
  <si>
    <t>Elizabeth Palacios</t>
  </si>
  <si>
    <t>56986019865</t>
  </si>
  <si>
    <t>355709312542456</t>
  </si>
  <si>
    <t>Calidad ??</t>
  </si>
  <si>
    <t>Alejandro Rodriguez</t>
  </si>
  <si>
    <t>56986019639</t>
  </si>
  <si>
    <t>352054263130701</t>
  </si>
  <si>
    <t>Ex Jefferson Dornelles</t>
  </si>
  <si>
    <t>Leonardo Gonzalez</t>
  </si>
  <si>
    <t>56946223422</t>
  </si>
  <si>
    <t>No tiene wsp</t>
  </si>
  <si>
    <t>Camilo Cotal</t>
  </si>
  <si>
    <t>56950997436</t>
  </si>
  <si>
    <t>355709314624153</t>
  </si>
  <si>
    <t>Gabriel Colls</t>
  </si>
  <si>
    <t>56964871670</t>
  </si>
  <si>
    <t>353922109169845</t>
  </si>
  <si>
    <t>Elizabeth Nahuelpan</t>
  </si>
  <si>
    <t>56942382706 </t>
  </si>
  <si>
    <t>352054264583486</t>
  </si>
  <si>
    <t>Alexis Muñoz</t>
  </si>
  <si>
    <t>56950406838</t>
  </si>
  <si>
    <t>Ex Juan Carlos Varea</t>
  </si>
  <si>
    <t>Pia Escobar</t>
  </si>
  <si>
    <t>56950406230</t>
  </si>
  <si>
    <t>353325955465822</t>
  </si>
  <si>
    <t>Marcelo</t>
  </si>
  <si>
    <t>56950403753</t>
  </si>
  <si>
    <t>BAM 1</t>
  </si>
  <si>
    <t>56957386542</t>
  </si>
  <si>
    <t>Pedir Simcard</t>
  </si>
  <si>
    <t>BAM 3</t>
  </si>
  <si>
    <t>56986019927</t>
  </si>
  <si>
    <t>Karol Barrera</t>
  </si>
  <si>
    <t>56999230881</t>
  </si>
  <si>
    <t>353325955843218</t>
  </si>
  <si>
    <t>sim card entregada</t>
  </si>
  <si>
    <t>BAM 5</t>
  </si>
  <si>
    <t>56999244313</t>
  </si>
  <si>
    <t>Disponible</t>
  </si>
  <si>
    <t>56941067728</t>
  </si>
  <si>
    <t>Ex Pamela Carrasco</t>
  </si>
  <si>
    <t>56990234721</t>
  </si>
  <si>
    <t>Ex Alejandra Perez</t>
  </si>
  <si>
    <t>Revisar</t>
  </si>
  <si>
    <t>56946472197</t>
  </si>
  <si>
    <t>Ex Karen Doggenweiller/ Pedir linea</t>
  </si>
  <si>
    <t>Jasmin Maldonado</t>
  </si>
  <si>
    <t>56990153750</t>
  </si>
  <si>
    <t>Revisar Ex colaboradora/ Se contacto por wsp, no respondío</t>
  </si>
  <si>
    <t>nicolas</t>
  </si>
  <si>
    <t>Estefania Monrroy</t>
  </si>
  <si>
    <t>56950000352</t>
  </si>
  <si>
    <t>Sim deshabilitado</t>
  </si>
  <si>
    <t>Leopoldo Farr</t>
  </si>
  <si>
    <t>56993423169</t>
  </si>
  <si>
    <t>Celular Propio y linea propia</t>
  </si>
  <si>
    <t xml:space="preserve">Alejandro Useche </t>
  </si>
  <si>
    <t>56973644701</t>
  </si>
  <si>
    <t>8956026200056758272</t>
  </si>
  <si>
    <t>Andrés Zarzar</t>
  </si>
  <si>
    <t>56974319155</t>
  </si>
  <si>
    <t>XIOAMI 15T</t>
  </si>
  <si>
    <t>860647072737106</t>
  </si>
  <si>
    <t>Gerente General</t>
  </si>
  <si>
    <t>Vicente Espinoza</t>
  </si>
  <si>
    <t>56920496571</t>
  </si>
  <si>
    <t>WOM</t>
  </si>
  <si>
    <t>89560900000751075328</t>
  </si>
  <si>
    <t>Graciela Dayanna Romero</t>
  </si>
  <si>
    <t>ZTE Blade A76</t>
  </si>
  <si>
    <t>864995070141789</t>
  </si>
  <si>
    <t>Sim valentina araya</t>
  </si>
  <si>
    <t xml:space="preserve">Tienda Valparaiso </t>
  </si>
  <si>
    <t>56936508796</t>
  </si>
  <si>
    <t>Equipo disponible(camara mala)</t>
  </si>
  <si>
    <t>ZTE Blade A35</t>
  </si>
  <si>
    <t>868985073220835</t>
  </si>
  <si>
    <t>💻  INVENTARIO PC</t>
  </si>
  <si>
    <t>Documento Firmado</t>
  </si>
  <si>
    <t>Entrega al usuario</t>
  </si>
  <si>
    <t>20303787-2</t>
  </si>
  <si>
    <t>Tiare Sandoval</t>
  </si>
  <si>
    <t>12-09-2025</t>
  </si>
  <si>
    <t>Asignado</t>
  </si>
  <si>
    <t>Operaciones</t>
  </si>
  <si>
    <t>Mall Concepción</t>
  </si>
  <si>
    <t>Lenovo</t>
  </si>
  <si>
    <t>IdeaPad Slim3</t>
  </si>
  <si>
    <t>PF4CC5M7</t>
  </si>
  <si>
    <t>SI</t>
  </si>
  <si>
    <t>14106954-3</t>
  </si>
  <si>
    <t>Ana María Galleguillos</t>
  </si>
  <si>
    <t>01-09-2025</t>
  </si>
  <si>
    <t>Manuel Montt</t>
  </si>
  <si>
    <t>ASUS</t>
  </si>
  <si>
    <t>Vivobook X515JAB</t>
  </si>
  <si>
    <t>s1N0CV02141028</t>
  </si>
  <si>
    <t>Precio 13UF</t>
  </si>
  <si>
    <t>18023209-5</t>
  </si>
  <si>
    <t>Matías Acuña</t>
  </si>
  <si>
    <t>01-07-2025</t>
  </si>
  <si>
    <t>Marketing</t>
  </si>
  <si>
    <t>Casa Matriz</t>
  </si>
  <si>
    <t>N2N0CX05R26906F</t>
  </si>
  <si>
    <t>NO</t>
  </si>
  <si>
    <t>33689249-k</t>
  </si>
  <si>
    <t>José Daniel Suárez</t>
  </si>
  <si>
    <t>15-05-2025</t>
  </si>
  <si>
    <t>Santa Ana</t>
  </si>
  <si>
    <t>Vivobook Go 14</t>
  </si>
  <si>
    <t>S1N0CV02X10802A</t>
  </si>
  <si>
    <t>22184692-3</t>
  </si>
  <si>
    <t>Belén Bernales</t>
  </si>
  <si>
    <t>06-01-2025</t>
  </si>
  <si>
    <t>Administración y Finanzas</t>
  </si>
  <si>
    <t>S1N0CV02X155026</t>
  </si>
  <si>
    <t>Blanca Marambio</t>
  </si>
  <si>
    <t>17923095-k</t>
  </si>
  <si>
    <t>Patricio Ramos</t>
  </si>
  <si>
    <t>28-05-2024</t>
  </si>
  <si>
    <t>Punta ARenas</t>
  </si>
  <si>
    <t>Vivobook E1404G</t>
  </si>
  <si>
    <t>S1N0CV02X18302C</t>
  </si>
  <si>
    <t>18250292-8</t>
  </si>
  <si>
    <t>02-04-2025</t>
  </si>
  <si>
    <t>Vivobook</t>
  </si>
  <si>
    <t>R7N0CV03379527C</t>
  </si>
  <si>
    <t>25433283-6</t>
  </si>
  <si>
    <t>Mariuxi Mosquera</t>
  </si>
  <si>
    <t>19-07-2024</t>
  </si>
  <si>
    <t>San Francisco</t>
  </si>
  <si>
    <t>S1N0CV02213020</t>
  </si>
  <si>
    <t>Nehormalin Vargas</t>
  </si>
  <si>
    <t>25403967-5</t>
  </si>
  <si>
    <t>Nehormarlín Vargas</t>
  </si>
  <si>
    <t>01-12-2023</t>
  </si>
  <si>
    <t>Dell</t>
  </si>
  <si>
    <t>Vostro 14 3000</t>
  </si>
  <si>
    <t>5Z278F3</t>
  </si>
  <si>
    <t>25978475-1</t>
  </si>
  <si>
    <t>Gabriel Casanova</t>
  </si>
  <si>
    <t>07-01-2025</t>
  </si>
  <si>
    <t>Vivobook Go</t>
  </si>
  <si>
    <t>X1N0V02X225029</t>
  </si>
  <si>
    <t>19211814-k</t>
  </si>
  <si>
    <t>19-01-2024</t>
  </si>
  <si>
    <t>HP</t>
  </si>
  <si>
    <t>Probook RTL8852AE</t>
  </si>
  <si>
    <t>4S055LT#ABM</t>
  </si>
  <si>
    <t>Con adaptador de red</t>
  </si>
  <si>
    <t>26738496-7</t>
  </si>
  <si>
    <t>Escarlin López</t>
  </si>
  <si>
    <t>08-05-2024</t>
  </si>
  <si>
    <t>Arica</t>
  </si>
  <si>
    <t>Thinkpad L14</t>
  </si>
  <si>
    <t>JVHFC1</t>
  </si>
  <si>
    <t>13706170-8</t>
  </si>
  <si>
    <t>Aracely Avilés</t>
  </si>
  <si>
    <t>29-05-2023</t>
  </si>
  <si>
    <t>240 G8</t>
  </si>
  <si>
    <t>8-NTHP5116</t>
  </si>
  <si>
    <t>confirmar n serie</t>
  </si>
  <si>
    <t>10092205-3</t>
  </si>
  <si>
    <t>Confirmar N serie</t>
  </si>
  <si>
    <t>26401374-7</t>
  </si>
  <si>
    <t>16-05-2023</t>
  </si>
  <si>
    <t>R17ET34W</t>
  </si>
  <si>
    <t>15635683-2</t>
  </si>
  <si>
    <t>Pamela Carrasco</t>
  </si>
  <si>
    <t>03-10-2022</t>
  </si>
  <si>
    <t>No Asignado</t>
  </si>
  <si>
    <t>Probook</t>
  </si>
  <si>
    <t>5CD2087W6R</t>
  </si>
  <si>
    <t>16847662-0</t>
  </si>
  <si>
    <t>Henry Cariman</t>
  </si>
  <si>
    <t>27-01-2021</t>
  </si>
  <si>
    <t>Thinkpad T14</t>
  </si>
  <si>
    <t>PF3658ZS</t>
  </si>
  <si>
    <t>15138960-0</t>
  </si>
  <si>
    <t>01-08-2022</t>
  </si>
  <si>
    <t>Producción</t>
  </si>
  <si>
    <t>L14PF2Q69Q</t>
  </si>
  <si>
    <t>17073151-4</t>
  </si>
  <si>
    <t>02-12-2021</t>
  </si>
  <si>
    <t>PF30E8CP</t>
  </si>
  <si>
    <t>18991948-4</t>
  </si>
  <si>
    <t>30-09-2021</t>
  </si>
  <si>
    <t>Antofagasta 2</t>
  </si>
  <si>
    <t>240 G</t>
  </si>
  <si>
    <t>5CG0423ZFL</t>
  </si>
  <si>
    <t>Probook 430 G4</t>
  </si>
  <si>
    <t>5CD7341P9N</t>
  </si>
  <si>
    <t>18604434-7</t>
  </si>
  <si>
    <t>Jasmín Maldonado</t>
  </si>
  <si>
    <t>03-10-2023</t>
  </si>
  <si>
    <t>Probook 440 G8</t>
  </si>
  <si>
    <t>5CD2087VZ9</t>
  </si>
  <si>
    <t>25861830-0</t>
  </si>
  <si>
    <t>14-06-2023</t>
  </si>
  <si>
    <t>MT Idea B14 82C4</t>
  </si>
  <si>
    <t>DKCN54WW</t>
  </si>
  <si>
    <t>15544965-9</t>
  </si>
  <si>
    <t>Carolina Pasmiño</t>
  </si>
  <si>
    <t>21-12-2023</t>
  </si>
  <si>
    <t>Ideapad 3 Gen 8 15.6''</t>
  </si>
  <si>
    <t>PF4C9TN3</t>
  </si>
  <si>
    <t>21209090-5</t>
  </si>
  <si>
    <t>Camila Hernández</t>
  </si>
  <si>
    <t>Quilpué</t>
  </si>
  <si>
    <t>Vivobook Go 14 E1404</t>
  </si>
  <si>
    <t>R7N0CV03375227B</t>
  </si>
  <si>
    <t>Se agregar adaptador RJ45</t>
  </si>
  <si>
    <t>20260525-7</t>
  </si>
  <si>
    <t>Natalia Marchant</t>
  </si>
  <si>
    <t>Parque Angamos</t>
  </si>
  <si>
    <t>R7N0CV03379227B</t>
  </si>
  <si>
    <t>Adaptador RJ45</t>
  </si>
  <si>
    <t>26250116-7</t>
  </si>
  <si>
    <t>Kelvis Orellana</t>
  </si>
  <si>
    <t>Calama</t>
  </si>
  <si>
    <t>R7N0CV033849271</t>
  </si>
  <si>
    <t>26008440-2</t>
  </si>
  <si>
    <t>Alvaro García</t>
  </si>
  <si>
    <t>R7N0CV033711273</t>
  </si>
  <si>
    <t>26917761-6</t>
  </si>
  <si>
    <t>Efren Gallego</t>
  </si>
  <si>
    <t>Concepición Los Carrera</t>
  </si>
  <si>
    <t>PF4CC446</t>
  </si>
  <si>
    <t>20194375-2</t>
  </si>
  <si>
    <t>Danitza Reyes</t>
  </si>
  <si>
    <t>Chiguayante</t>
  </si>
  <si>
    <t>R7N0CV033844273</t>
  </si>
  <si>
    <t>13823607-2</t>
  </si>
  <si>
    <t>Mario Hechenleitner</t>
  </si>
  <si>
    <t>Osorno 2</t>
  </si>
  <si>
    <t>R7N0CV033817273</t>
  </si>
  <si>
    <t>20064587-1</t>
  </si>
  <si>
    <t>Camila Álvarez</t>
  </si>
  <si>
    <t>Puerto Montt 2</t>
  </si>
  <si>
    <t>PF4CC3Y4</t>
  </si>
  <si>
    <t>15907734-9</t>
  </si>
  <si>
    <t>Carolina Núñez</t>
  </si>
  <si>
    <t>Talca</t>
  </si>
  <si>
    <t>PF4ANXQE</t>
  </si>
  <si>
    <t>18995949-4</t>
  </si>
  <si>
    <t>Camila Villalobos</t>
  </si>
  <si>
    <t>11-01-2023</t>
  </si>
  <si>
    <t>VivoBook X515JAB</t>
  </si>
  <si>
    <t>R7N0CV033379527C</t>
  </si>
  <si>
    <t>05-08-2021</t>
  </si>
  <si>
    <t>PF2Q40WX</t>
  </si>
  <si>
    <t>13083079-1</t>
  </si>
  <si>
    <t>27-02-2023</t>
  </si>
  <si>
    <t>PF2Q6R4A</t>
  </si>
  <si>
    <t>22146873-2</t>
  </si>
  <si>
    <t>Gisselle Venegas</t>
  </si>
  <si>
    <t>20U2S00A00</t>
  </si>
  <si>
    <t>27238248-4</t>
  </si>
  <si>
    <t>Allan Sinisterra</t>
  </si>
  <si>
    <t>Ideapad 3</t>
  </si>
  <si>
    <t>PF4CAZM</t>
  </si>
  <si>
    <t>19310439-8</t>
  </si>
  <si>
    <t>Francisco Gutiérrez</t>
  </si>
  <si>
    <t>28-06-2024</t>
  </si>
  <si>
    <t>Quilicura</t>
  </si>
  <si>
    <t>SPF4CA5DM</t>
  </si>
  <si>
    <t>26611799-K</t>
  </si>
  <si>
    <t>Gabriela Castro</t>
  </si>
  <si>
    <t>15-05-2024</t>
  </si>
  <si>
    <t>Copiapó</t>
  </si>
  <si>
    <t>S1N0CV02X14302A</t>
  </si>
  <si>
    <t>26401147-7</t>
  </si>
  <si>
    <t>Alejandro Rodríguez</t>
  </si>
  <si>
    <t>Vivobook 3</t>
  </si>
  <si>
    <t>R7N0CV033791276</t>
  </si>
  <si>
    <t>25564977-9</t>
  </si>
  <si>
    <t>Pedro Marchán</t>
  </si>
  <si>
    <t>Rotonda Atenas</t>
  </si>
  <si>
    <t>S1N0CV02X223023</t>
  </si>
  <si>
    <t>16392527-3</t>
  </si>
  <si>
    <t>Elizabet Palacios</t>
  </si>
  <si>
    <t>07-10-2024</t>
  </si>
  <si>
    <t>Pendiente</t>
  </si>
  <si>
    <t>18472721-8</t>
  </si>
  <si>
    <t>Giselle Ojeda</t>
  </si>
  <si>
    <t>20-05-2024</t>
  </si>
  <si>
    <t>Puerto Montt</t>
  </si>
  <si>
    <t>S1N0CV02X14202C</t>
  </si>
  <si>
    <t>17348348-1</t>
  </si>
  <si>
    <t>Melissa Saavedra</t>
  </si>
  <si>
    <t>Chillán</t>
  </si>
  <si>
    <t>17679797-5</t>
  </si>
  <si>
    <t>Álvaro Arend</t>
  </si>
  <si>
    <t>15-04-2025</t>
  </si>
  <si>
    <t>PF360JLP</t>
  </si>
  <si>
    <t>19660285-2</t>
  </si>
  <si>
    <t>Brayan Valdebenito</t>
  </si>
  <si>
    <t>09-07-2025</t>
  </si>
  <si>
    <t>HP ZBOOK POWER G8</t>
  </si>
  <si>
    <t>5CD1518L71</t>
  </si>
  <si>
    <t>17122932-4</t>
  </si>
  <si>
    <t>01-05-2022</t>
  </si>
  <si>
    <t>DELL</t>
  </si>
  <si>
    <t>inspiron 15</t>
  </si>
  <si>
    <t>1d83HG3</t>
  </si>
  <si>
    <t>19241615-9</t>
  </si>
  <si>
    <t>07-05-2025</t>
  </si>
  <si>
    <t>hp</t>
  </si>
  <si>
    <t>Probook 440</t>
  </si>
  <si>
    <t>RTL8852AE</t>
  </si>
  <si>
    <t>23955543-8</t>
  </si>
  <si>
    <t>Katherine Arias</t>
  </si>
  <si>
    <t>12-06-2024</t>
  </si>
  <si>
    <t xml:space="preserve">Calle Center </t>
  </si>
  <si>
    <t xml:space="preserve">Lenovo </t>
  </si>
  <si>
    <t>Thinkpad t14 gen1</t>
  </si>
  <si>
    <t>Pf-34ezwh</t>
  </si>
  <si>
    <t>20900351-1</t>
  </si>
  <si>
    <t>24-09-2025</t>
  </si>
  <si>
    <t>Vivobook X1404ZA_X1404ZA</t>
  </si>
  <si>
    <t>S2N0CX04D495084</t>
  </si>
  <si>
    <t>No hay documento de recepcion</t>
  </si>
  <si>
    <t>Matías acuña</t>
  </si>
  <si>
    <t>22-04-2025</t>
  </si>
  <si>
    <t xml:space="preserve">Marketing </t>
  </si>
  <si>
    <t>Asus</t>
  </si>
  <si>
    <t>M515j</t>
  </si>
  <si>
    <t>N2n0cx05r26906f</t>
  </si>
  <si>
    <t>Matias Acuña</t>
  </si>
  <si>
    <t>15430712-5</t>
  </si>
  <si>
    <t xml:space="preserve">Juan Cofré </t>
  </si>
  <si>
    <t>12-03-2024</t>
  </si>
  <si>
    <t xml:space="preserve">Finanzas </t>
  </si>
  <si>
    <t>Thinkpad gen6</t>
  </si>
  <si>
    <t>Pf-2kh8az</t>
  </si>
  <si>
    <t>Juan Cofre</t>
  </si>
  <si>
    <t>13197851-0</t>
  </si>
  <si>
    <t>09-01-2023</t>
  </si>
  <si>
    <t xml:space="preserve">Informática </t>
  </si>
  <si>
    <t>Thinkpad t14 gen2</t>
  </si>
  <si>
    <t>PF 2KJ2FL</t>
  </si>
  <si>
    <t>10783880-5</t>
  </si>
  <si>
    <t>26-04-2024</t>
  </si>
  <si>
    <t>Samsung</t>
  </si>
  <si>
    <t>750xfg</t>
  </si>
  <si>
    <t>KW1P99YWB000AZY</t>
  </si>
  <si>
    <t>26024258-k</t>
  </si>
  <si>
    <t>Andrei arria</t>
  </si>
  <si>
    <t>19-05-2025</t>
  </si>
  <si>
    <t>Macbook</t>
  </si>
  <si>
    <t>Macbook pro</t>
  </si>
  <si>
    <t>C02fg8jfq05d</t>
  </si>
  <si>
    <t>Andrei Arria</t>
  </si>
  <si>
    <t>21679826-0</t>
  </si>
  <si>
    <t>Germán Echesuri</t>
  </si>
  <si>
    <t>01-01-2023</t>
  </si>
  <si>
    <t>Devuelto</t>
  </si>
  <si>
    <t>Control de Gestión</t>
  </si>
  <si>
    <t>ZBOOK Power G8</t>
  </si>
  <si>
    <t>5CD2210ZQX</t>
  </si>
  <si>
    <t>26831508K</t>
  </si>
  <si>
    <t xml:space="preserve">Santiago Pineda </t>
  </si>
  <si>
    <t>01-04-2021</t>
  </si>
  <si>
    <t>Inspiraron 14 3000</t>
  </si>
  <si>
    <t>JJNT293</t>
  </si>
  <si>
    <t>Santiago Pineda</t>
  </si>
  <si>
    <t>177593990</t>
  </si>
  <si>
    <t>19-04-2021</t>
  </si>
  <si>
    <t>HP 240 G8</t>
  </si>
  <si>
    <t>5CG1130T6H</t>
  </si>
  <si>
    <t>19962361-3</t>
  </si>
  <si>
    <t>Matías Sandoval</t>
  </si>
  <si>
    <t>05-08-2025</t>
  </si>
  <si>
    <t>Inspiron 15 5510</t>
  </si>
  <si>
    <t>CL83HG3</t>
  </si>
  <si>
    <t>15363591-9</t>
  </si>
  <si>
    <t>25-09-2025</t>
  </si>
  <si>
    <t>Vivobook X1605Z</t>
  </si>
  <si>
    <t>S1N0CV02W987028</t>
  </si>
  <si>
    <t>Alejandra Perez</t>
  </si>
  <si>
    <t>13935648-9</t>
  </si>
  <si>
    <t>Elizabeth Nahuelpán</t>
  </si>
  <si>
    <t>02-09-2025</t>
  </si>
  <si>
    <t xml:space="preserve">RRHH </t>
  </si>
  <si>
    <t>Vivobook e1404ga</t>
  </si>
  <si>
    <t>R7N0CV338232TE</t>
  </si>
  <si>
    <t>16628331-0</t>
  </si>
  <si>
    <t>Cynthia Martinez</t>
  </si>
  <si>
    <t>03-07-2025</t>
  </si>
  <si>
    <t>PF35GTK1</t>
  </si>
  <si>
    <t>7038100-1</t>
  </si>
  <si>
    <t xml:space="preserve">Trinidad García </t>
  </si>
  <si>
    <t>09-04-2025</t>
  </si>
  <si>
    <t xml:space="preserve">Asus </t>
  </si>
  <si>
    <t>Vivobook x1605za</t>
  </si>
  <si>
    <t>S5N0CV06119920F</t>
  </si>
  <si>
    <t>13080548-5</t>
  </si>
  <si>
    <t xml:space="preserve">Blanca Marambio </t>
  </si>
  <si>
    <t>08-02-2024</t>
  </si>
  <si>
    <t>KW1P99YW80001PF</t>
  </si>
  <si>
    <t>18061730-2</t>
  </si>
  <si>
    <t>Nedjelka segovia</t>
  </si>
  <si>
    <t>07-09-2023</t>
  </si>
  <si>
    <t>Hp</t>
  </si>
  <si>
    <t>Probook 440g8</t>
  </si>
  <si>
    <t>5CD2087W03</t>
  </si>
  <si>
    <t>26216844-1</t>
  </si>
  <si>
    <t>14-05-2025</t>
  </si>
  <si>
    <t xml:space="preserve">Call Center </t>
  </si>
  <si>
    <t>PF30F197</t>
  </si>
  <si>
    <t>14519210-2</t>
  </si>
  <si>
    <t>25-08-2025</t>
  </si>
  <si>
    <t>Zenbook</t>
  </si>
  <si>
    <t>R7N0LP02Y598297</t>
  </si>
  <si>
    <t>15764713-k</t>
  </si>
  <si>
    <t>Khristian Castro</t>
  </si>
  <si>
    <t>24-01-2025</t>
  </si>
  <si>
    <t xml:space="preserve">Operaciones </t>
  </si>
  <si>
    <t>E1404g</t>
  </si>
  <si>
    <t>R7N0CV033842270</t>
  </si>
  <si>
    <t>16.233.316-K</t>
  </si>
  <si>
    <t>03-01-2023</t>
  </si>
  <si>
    <t>NP750XFG</t>
  </si>
  <si>
    <t>KW1P99YW800057N</t>
  </si>
  <si>
    <t>19718116-8</t>
  </si>
  <si>
    <t>03-08-2022</t>
  </si>
  <si>
    <t>HP 15-DY2064la</t>
  </si>
  <si>
    <t>5CD20TFWBM</t>
  </si>
  <si>
    <t>Tiare Barrios</t>
  </si>
  <si>
    <t>26-09-2025</t>
  </si>
  <si>
    <t>Irarrázaval</t>
  </si>
  <si>
    <t>Sin equipo asignado</t>
  </si>
  <si>
    <t>18247345-6</t>
  </si>
  <si>
    <t>María José Riquelme</t>
  </si>
  <si>
    <t>Los Domínicos</t>
  </si>
  <si>
    <t>Vivobook 14</t>
  </si>
  <si>
    <t>S1N0CV02X134026</t>
  </si>
  <si>
    <t>Nathalie Morales</t>
  </si>
  <si>
    <t>Peñalolén</t>
  </si>
  <si>
    <t>12054220-6</t>
  </si>
  <si>
    <t>Rafael López</t>
  </si>
  <si>
    <t>Santa Amalia</t>
  </si>
  <si>
    <t>S1N0CV02X19802B</t>
  </si>
  <si>
    <t>José Romero</t>
  </si>
  <si>
    <t>Antofagasta</t>
  </si>
  <si>
    <t>33546500-8</t>
  </si>
  <si>
    <t>Nivanesky Natera</t>
  </si>
  <si>
    <t>Bustamante</t>
  </si>
  <si>
    <t>S1N0CV02X170029</t>
  </si>
  <si>
    <t>Victor Mejías</t>
  </si>
  <si>
    <t>La Serena 2</t>
  </si>
  <si>
    <t>Dévora Blanco</t>
  </si>
  <si>
    <t>Froilán Roa</t>
  </si>
  <si>
    <t>Nadia Escobar</t>
  </si>
  <si>
    <t>Viña del Mar</t>
  </si>
  <si>
    <t>18107965-7</t>
  </si>
  <si>
    <t>Estefanía Monroy</t>
  </si>
  <si>
    <t>Hualpén</t>
  </si>
  <si>
    <t>L14</t>
  </si>
  <si>
    <t>PF30EZX1</t>
  </si>
  <si>
    <t>Braulio Cáceres</t>
  </si>
  <si>
    <t>Concón</t>
  </si>
  <si>
    <t>Juan Campos</t>
  </si>
  <si>
    <t>Puente Alto</t>
  </si>
  <si>
    <t>José Suárez</t>
  </si>
  <si>
    <t>Andrés Ávila</t>
  </si>
  <si>
    <t>Gran Avenida</t>
  </si>
  <si>
    <t>18046837-0</t>
  </si>
  <si>
    <t>cristian medina</t>
  </si>
  <si>
    <t>06-10-2025</t>
  </si>
  <si>
    <t>Thinkpad T14 Gen1</t>
  </si>
  <si>
    <t>S/N</t>
  </si>
  <si>
    <t>Cristian Medina</t>
  </si>
  <si>
    <t>18406837-0</t>
  </si>
  <si>
    <t>PF-35GTK1</t>
  </si>
  <si>
    <t>09-10-2025</t>
  </si>
  <si>
    <t>VIVOBOOK</t>
  </si>
  <si>
    <t>r7n0cv03379502</t>
  </si>
  <si>
    <t>henry cariman</t>
  </si>
  <si>
    <t>17-10-2025</t>
  </si>
  <si>
    <t>Probook 440 g8</t>
  </si>
  <si>
    <t>Erick Giraldo</t>
  </si>
  <si>
    <t>12-11-2025</t>
  </si>
  <si>
    <t>E1404G</t>
  </si>
  <si>
    <t>21572252-k</t>
  </si>
  <si>
    <t>Giselle Roa</t>
  </si>
  <si>
    <t>18-11-2025</t>
  </si>
  <si>
    <t>Roberto Ramirez</t>
  </si>
  <si>
    <t>02-12-2025</t>
  </si>
  <si>
    <t>hp laptop 14</t>
  </si>
  <si>
    <t>1H943605DB</t>
  </si>
  <si>
    <t>Roberto Ramírez</t>
  </si>
  <si>
    <t>04-12-2025</t>
  </si>
  <si>
    <t>Ideapad Slim3</t>
  </si>
  <si>
    <t>05-12-2025</t>
  </si>
  <si>
    <t>PF4CA6ZM</t>
  </si>
  <si>
    <t>20426960-2</t>
  </si>
  <si>
    <t>Paula Mellico</t>
  </si>
  <si>
    <t>11-12-2025</t>
  </si>
  <si>
    <t>T7N0CV15A844303</t>
  </si>
  <si>
    <t>18540307-6</t>
  </si>
  <si>
    <t>Christopher celedon</t>
  </si>
  <si>
    <t>19-12-2025</t>
  </si>
  <si>
    <t>Probook 440 g7</t>
  </si>
  <si>
    <t>5CD1146ZVZ</t>
  </si>
  <si>
    <t>Christopher  Celedón</t>
  </si>
  <si>
    <t>Andrea Gutierrez</t>
  </si>
  <si>
    <t>22-12-2025</t>
  </si>
  <si>
    <t>Contabilidad</t>
  </si>
  <si>
    <t>HP PROBOOK 440 G8</t>
  </si>
  <si>
    <t>SCD2087VZ9</t>
  </si>
  <si>
    <t>14173391-5</t>
  </si>
  <si>
    <t>05-01-2026</t>
  </si>
  <si>
    <t>Zbook Power G8</t>
  </si>
  <si>
    <t>Huawei</t>
  </si>
  <si>
    <t>Matebook 13</t>
  </si>
  <si>
    <t>06-01-2026</t>
  </si>
  <si>
    <t>T7N0CX040150305</t>
  </si>
  <si>
    <t>Alejandro Useche</t>
  </si>
  <si>
    <t>08-01-2026</t>
  </si>
  <si>
    <t>operaciones</t>
  </si>
  <si>
    <t>asus</t>
  </si>
  <si>
    <t>vivobook E1404G</t>
  </si>
  <si>
    <t>T7N0CV01K94627G</t>
  </si>
  <si>
    <t>Jean Castillo</t>
  </si>
  <si>
    <t>13-01-2026</t>
  </si>
  <si>
    <t>Jean Paul Castillo</t>
  </si>
  <si>
    <t>Queda pendiente devolución de equipo actual</t>
  </si>
  <si>
    <t>14-01-2026</t>
  </si>
  <si>
    <t>PROBOOK</t>
  </si>
  <si>
    <t>15431962-K</t>
  </si>
  <si>
    <t xml:space="preserve">Patricio Castillo </t>
  </si>
  <si>
    <t>19-02-2026</t>
  </si>
  <si>
    <t>Mantencion</t>
  </si>
  <si>
    <t>HP15-dy2060la</t>
  </si>
  <si>
    <t>5CD207FVV8</t>
  </si>
  <si>
    <t>26061142-9</t>
  </si>
  <si>
    <t>12-03-2026</t>
  </si>
  <si>
    <t xml:space="preserve">ProBook 440 </t>
  </si>
  <si>
    <t>5CD2087VZ4</t>
  </si>
  <si>
    <t>27692742-6</t>
  </si>
  <si>
    <t>Graciela Romero</t>
  </si>
  <si>
    <t>10-03-2026</t>
  </si>
  <si>
    <t>R.R.H.H</t>
  </si>
  <si>
    <t>V14</t>
  </si>
  <si>
    <t>PF32FXWM</t>
  </si>
  <si>
    <t>Dayanna Romero</t>
  </si>
  <si>
    <t>Call Center</t>
  </si>
  <si>
    <t>IdeaPad Slim3|</t>
  </si>
  <si>
    <t>PF4C9PET</t>
  </si>
  <si>
    <t>11-03-2026</t>
  </si>
  <si>
    <t>16-03-2026</t>
  </si>
  <si>
    <t>Gerencia</t>
  </si>
  <si>
    <t>VIVOBOOK S</t>
  </si>
  <si>
    <t>TBN0KD007039473</t>
  </si>
  <si>
    <t>22667038-6</t>
  </si>
  <si>
    <t>Antares Romero</t>
  </si>
  <si>
    <t>25-03-2026</t>
  </si>
  <si>
    <t>5CG2502765</t>
  </si>
  <si>
    <t>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</si>
</sst>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sz val="9"/>
      <color rgb="FF2C2C2C"/>
      <name val="Arial"/>
    </font>
    <font>
      <b/>
      <sz val="9"/>
      <color rgb="FF1A6B3C"/>
      <name val="Arial"/>
    </font>
    <font>
      <b/>
      <sz val="9"/>
      <color rgb="FFA93226"/>
      <name val="Arial"/>
    </font>
    <font>
      <b/>
      <sz val="20"/>
      <color rgb="FFFFFFFF"/>
      <name val="Arial"/>
    </font>
    <font>
      <b/>
      <sz val="11"/>
      <color rgb="FFFFFFFF"/>
      <name val="Arial"/>
    </font>
    <font>
      <i/>
      <sz val="9"/>
      <color rgb="FF999999"/>
      <name val="Arial"/>
    </font>
    <font>
      <b/>
      <sz val="12"/>
      <color rgb="FF7B0D0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B0D0D"/>
      </patternFill>
    </fill>
    <fill>
      <patternFill patternType="solid">
        <fgColor rgb="FFC0272D"/>
      </patternFill>
    </fill>
    <fill>
      <patternFill patternType="solid">
        <fgColor rgb="FFFFFFFF"/>
      </patternFill>
    </fill>
    <fill>
      <patternFill patternType="solid">
        <fgColor rgb="FFFFF7F7"/>
      </patternFill>
    </fill>
    <fill>
      <patternFill patternType="solid">
        <fgColor rgb="FFFFFDE7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8C8C8"/>
      </left>
      <right style="thin">
        <color rgb="FFE8C8C8"/>
      </right>
      <top style="thin">
        <color rgb="FFE8C8C8"/>
      </top>
      <bottom style="thin">
        <color rgb="FFE8C8C8"/>
      </bottom>
      <diagonal/>
    </border>
    <border>
      <left style="medium">
        <color rgb="FFC0272D"/>
      </left>
      <right style="medium">
        <color rgb="FFC0272D"/>
      </right>
      <top style="medium">
        <color rgb="FFC0272D"/>
      </top>
      <bottom style="medium">
        <color rgb="FFC0272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0" borderId="0" xfId="0"/>
    <xf numFmtId="0" fontId="8" fillId="0" borderId="0" xfId="0" applyFont="1" applyAlignment="1">
      <alignment horizontal="left" vertical="center"/>
    </xf>
    <xf numFmtId="0" fontId="0" fillId="2" borderId="0" xfId="0" applyFill="1"/>
    <xf numFmtId="0" fontId="6" fillId="2" borderId="0" xfId="0" applyFont="1" applyFill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B0D0D"/>
  </sheetPr>
  <dimension ref="A1:P51"/>
  <sheetViews>
    <sheetView showGridLines="0" tabSelected="1" zoomScale="90" zoomScaleNormal="90" workbookViewId="0">
      <pane ySplit="7" topLeftCell="A8" activePane="bottomLeft" state="frozen"/>
      <selection pane="bottomLeft" activeCell="G5" sqref="G5:M5"/>
    </sheetView>
  </sheetViews>
  <sheetFormatPr baseColWidth="10" defaultColWidth="8.88671875" defaultRowHeight="14.4" x14ac:dyDescent="0.3"/>
  <cols>
    <col min="1" max="1" width="13" customWidth="1"/>
    <col min="2" max="2" width="24" customWidth="1"/>
    <col min="3" max="3" width="14" customWidth="1"/>
    <col min="4" max="4" width="12" customWidth="1"/>
    <col min="5" max="5" width="24" customWidth="1"/>
    <col min="6" max="6" width="18" customWidth="1"/>
    <col min="7" max="7" width="14.5546875" bestFit="1" customWidth="1"/>
    <col min="8" max="8" width="22" customWidth="1"/>
    <col min="9" max="9" width="18" customWidth="1"/>
    <col min="10" max="10" width="13" customWidth="1"/>
    <col min="11" max="12" width="10" customWidth="1"/>
    <col min="13" max="13" width="20" customWidth="1"/>
    <col min="14" max="14" width="18" customWidth="1"/>
    <col min="15" max="15" width="22" customWidth="1"/>
  </cols>
  <sheetData>
    <row r="1" spans="1:16" ht="7.95" customHeight="1" x14ac:dyDescent="0.3">
      <c r="A1" s="14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52.05" customHeight="1" x14ac:dyDescent="0.3">
      <c r="A2" s="15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6" customHeight="1" x14ac:dyDescent="0.3"/>
    <row r="4" spans="1:16" ht="40.049999999999997" customHeight="1" x14ac:dyDescent="0.3">
      <c r="B4" s="11" t="s">
        <v>1</v>
      </c>
      <c r="C4" s="12"/>
      <c r="D4" s="12"/>
      <c r="E4" s="12"/>
      <c r="F4" s="12"/>
      <c r="G4" s="16" t="s">
        <v>725</v>
      </c>
      <c r="H4" s="12"/>
      <c r="I4" s="12"/>
      <c r="J4" s="12"/>
      <c r="K4" s="12"/>
      <c r="L4" s="12"/>
      <c r="M4" s="12"/>
    </row>
    <row r="5" spans="1:16" ht="16.05" customHeight="1" x14ac:dyDescent="0.3">
      <c r="G5" s="13" t="s">
        <v>2</v>
      </c>
      <c r="H5" s="12"/>
      <c r="I5" s="12"/>
      <c r="J5" s="12"/>
      <c r="K5" s="12"/>
      <c r="L5" s="12"/>
      <c r="M5" s="12"/>
    </row>
    <row r="6" spans="1:16" ht="10.050000000000001" customHeight="1" x14ac:dyDescent="0.3"/>
    <row r="7" spans="1:16" ht="24" customHeight="1" x14ac:dyDescent="0.3">
      <c r="A7" s="11" t="s">
        <v>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6" ht="28.05" customHeight="1" x14ac:dyDescent="0.3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  <c r="O8" s="1" t="s">
        <v>18</v>
      </c>
    </row>
    <row r="9" spans="1:16" ht="18" customHeight="1" x14ac:dyDescent="0.3">
      <c r="A9" s="2">
        <f t="array" ref="A9">IFERROR(INDEX(_Data!A2:A111,SMALL(IF(ISNUMBER(SEARCH(IF(G4="",CHAR(1),G4),_Data!B2:B111)),ROW(_Data!B2:B111)-1),1)),"")</f>
        <v>0</v>
      </c>
      <c r="B9" s="3" t="str">
        <f t="array" ref="B9">IFERROR(INDEX(_Data!B2:B111,SMALL(IF(ISNUMBER(SEARCH(IF(G4="",CHAR(1),G4),_Data!B2:B111)),ROW(_Data!B2:B111)-1),1)),"")</f>
        <v>Pia Escobar</v>
      </c>
      <c r="C9" s="2" t="str">
        <f t="array" ref="C9">IFERROR(INDEX(_Data!C2:C111,SMALL(IF(ISNUMBER(SEARCH(IF(G4="",CHAR(1),G4),_Data!B2:B111)),ROW(_Data!B2:B111)-1),1)),"")</f>
        <v>05-12-2025</v>
      </c>
      <c r="D9" s="2" t="str">
        <f t="array" ref="D9">IFERROR(INDEX(_Data!D2:D111,SMALL(IF(ISNUMBER(SEARCH(IF(G4="",CHAR(1),G4),_Data!B2:B111)),ROW(_Data!B2:B111)-1),1)),"")</f>
        <v>Asignado</v>
      </c>
      <c r="E9" s="3" t="str">
        <f t="array" ref="E9">IFERROR(INDEX(_Data!E2:E111,SMALL(IF(ISNUMBER(SEARCH(IF(G4="",CHAR(1),G4),_Data!B2:B111)),ROW(_Data!B2:B111)-1),1)),"")</f>
        <v>Auditoria</v>
      </c>
      <c r="F9" s="3" t="str">
        <f t="array" ref="F9">IFERROR(INDEX(_Data!F2:F111,SMALL(IF(ISNUMBER(SEARCH(IF(G4="",CHAR(1),G4),_Data!B2:B111)),ROW(_Data!B2:B111)-1),1)),"")</f>
        <v>Casa Matriz</v>
      </c>
      <c r="G9" s="2" t="str">
        <f t="array" ref="G9">IFERROR(INDEX(_Data!G2:G111,SMALL(IF(ISNUMBER(SEARCH(IF(G4="",CHAR(1),G4),_Data!B2:B111)),ROW(_Data!B2:B111)-1),1)),"")</f>
        <v>Lenovo</v>
      </c>
      <c r="H9" s="3" t="str">
        <f t="array" ref="H9">IFERROR(INDEX(_Data!H2:H111,SMALL(IF(ISNUMBER(SEARCH(IF(G4="",CHAR(1),G4),_Data!B2:B111)),ROW(_Data!B2:B111)-1),1)),"")</f>
        <v>Ideapad Slim3</v>
      </c>
      <c r="I9" s="3" t="str">
        <f t="array" ref="I9">IFERROR(INDEX(_Data!I2:I111,SMALL(IF(ISNUMBER(SEARCH(IF(G4="",CHAR(1),G4),_Data!B2:B111)),ROW(_Data!B2:B111)-1),1)),"")</f>
        <v>PF4CA6ZM</v>
      </c>
      <c r="J9" s="2" t="str">
        <f t="array" ref="J9">IFERROR(INDEX(_Data!J2:J111,SMALL(IF(ISNUMBER(SEARCH(IF(G4="",CHAR(1),G4),_Data!B2:B111)),ROW(_Data!B2:B111)-1),1)),"")</f>
        <v>NO</v>
      </c>
      <c r="K9" s="2" t="str">
        <f t="array" ref="K9">IFERROR(INDEX(_Data!K2:K111,SMALL(IF(ISNUMBER(SEARCH(IF(G4="",CHAR(1),G4),_Data!B2:B111)),ROW(_Data!B2:B111)-1),1)),"")</f>
        <v>NO</v>
      </c>
      <c r="L9" s="2" t="str">
        <f t="array" ref="L9">IFERROR(INDEX(_Data!L2:L111,SMALL(IF(ISNUMBER(SEARCH(IF(G4="",CHAR(1),G4),_Data!B2:B111)),ROW(_Data!B2:B111)-1),1)),"")</f>
        <v>SI</v>
      </c>
      <c r="M9" s="3" t="str">
        <f t="array" ref="M9">IFERROR(INDEX(_Data!M2:M111,SMALL(IF(ISNUMBER(SEARCH(IF(G4="",CHAR(1),G4),_Data!B2:B111)),ROW(_Data!B2:B111)-1),1)),"")</f>
        <v>Emilio Droguett</v>
      </c>
      <c r="N9" s="3" t="str">
        <f t="array" ref="N9">IFERROR(INDEX(_Data!N2:N111,SMALL(IF(ISNUMBER(SEARCH(IF(G4="",CHAR(1),G4),_Data!B2:B111)),ROW(_Data!B2:B111)-1),1)),"")</f>
        <v>Pia Escobar</v>
      </c>
      <c r="O9" s="3">
        <f t="array" ref="O9">IFERROR(INDEX(_Data!O2:O111,SMALL(IF(ISNUMBER(SEARCH(IF(G4="",CHAR(1),G4),_Data!B2:B111)),ROW(_Data!B2:B111)-1),1)),"")</f>
        <v>0</v>
      </c>
    </row>
    <row r="10" spans="1:16" ht="18" customHeight="1" x14ac:dyDescent="0.3">
      <c r="A10" s="4" t="str">
        <f t="array" ref="A10">IFERROR(INDEX(_Data!A2:A111,SMALL(IF(ISNUMBER(SEARCH(IF(G4="",CHAR(1),G4),_Data!B2:B111)),ROW(_Data!B2:B111)-1),2)),"")</f>
        <v/>
      </c>
      <c r="B10" s="5" t="str">
        <f t="array" ref="B10">IFERROR(INDEX(_Data!B2:B111,SMALL(IF(ISNUMBER(SEARCH(IF(G4="",CHAR(1),G4),_Data!B2:B111)),ROW(_Data!B2:B111)-1),2)),"")</f>
        <v/>
      </c>
      <c r="C10" s="4" t="str">
        <f t="array" ref="C10">IFERROR(INDEX(_Data!C2:C111,SMALL(IF(ISNUMBER(SEARCH(IF(G4="",CHAR(1),G4),_Data!B2:B111)),ROW(_Data!B2:B111)-1),2)),"")</f>
        <v/>
      </c>
      <c r="D10" s="4" t="str">
        <f t="array" ref="D10">IFERROR(INDEX(_Data!D2:D111,SMALL(IF(ISNUMBER(SEARCH(IF(G4="",CHAR(1),G4),_Data!B2:B111)),ROW(_Data!B2:B111)-1),2)),"")</f>
        <v/>
      </c>
      <c r="E10" s="5" t="str">
        <f t="array" ref="E10">IFERROR(INDEX(_Data!E2:E111,SMALL(IF(ISNUMBER(SEARCH(IF(G4="",CHAR(1),G4),_Data!B2:B111)),ROW(_Data!B2:B111)-1),2)),"")</f>
        <v/>
      </c>
      <c r="F10" s="5" t="str">
        <f t="array" ref="F10">IFERROR(INDEX(_Data!F2:F111,SMALL(IF(ISNUMBER(SEARCH(IF(G4="",CHAR(1),G4),_Data!B2:B111)),ROW(_Data!B2:B111)-1),2)),"")</f>
        <v/>
      </c>
      <c r="G10" s="4" t="str">
        <f t="array" ref="G10">IFERROR(INDEX(_Data!G2:G111,SMALL(IF(ISNUMBER(SEARCH(IF(G4="",CHAR(1),G4),_Data!B2:B111)),ROW(_Data!B2:B111)-1),2)),"")</f>
        <v/>
      </c>
      <c r="H10" s="5" t="str">
        <f t="array" ref="H10">IFERROR(INDEX(_Data!H2:H111,SMALL(IF(ISNUMBER(SEARCH(IF(G4="",CHAR(1),G4),_Data!B2:B111)),ROW(_Data!B2:B111)-1),2)),"")</f>
        <v/>
      </c>
      <c r="I10" s="5" t="str">
        <f t="array" ref="I10">IFERROR(INDEX(_Data!I2:I111,SMALL(IF(ISNUMBER(SEARCH(IF(G4="",CHAR(1),G4),_Data!B2:B111)),ROW(_Data!B2:B111)-1),2)),"")</f>
        <v/>
      </c>
      <c r="J10" s="4" t="str">
        <f t="array" ref="J10">IFERROR(INDEX(_Data!J2:J111,SMALL(IF(ISNUMBER(SEARCH(IF(G4="",CHAR(1),G4),_Data!B2:B111)),ROW(_Data!B2:B111)-1),2)),"")</f>
        <v/>
      </c>
      <c r="K10" s="4" t="str">
        <f t="array" ref="K10">IFERROR(INDEX(_Data!K2:K111,SMALL(IF(ISNUMBER(SEARCH(IF(G4="",CHAR(1),G4),_Data!B2:B111)),ROW(_Data!B2:B111)-1),2)),"")</f>
        <v/>
      </c>
      <c r="L10" s="4" t="str">
        <f t="array" ref="L10">IFERROR(INDEX(_Data!L2:L111,SMALL(IF(ISNUMBER(SEARCH(IF(G4="",CHAR(1),G4),_Data!B2:B111)),ROW(_Data!B2:B111)-1),2)),"")</f>
        <v/>
      </c>
      <c r="M10" s="5" t="str">
        <f t="array" ref="M10">IFERROR(INDEX(_Data!M2:M111,SMALL(IF(ISNUMBER(SEARCH(IF(G4="",CHAR(1),G4),_Data!B2:B111)),ROW(_Data!B2:B111)-1),2)),"")</f>
        <v/>
      </c>
      <c r="N10" s="5" t="str">
        <f t="array" ref="N10">IFERROR(INDEX(_Data!N2:N111,SMALL(IF(ISNUMBER(SEARCH(IF(G4="",CHAR(1),G4),_Data!B2:B111)),ROW(_Data!B2:B111)-1),2)),"")</f>
        <v/>
      </c>
      <c r="O10" s="5" t="str">
        <f t="array" ref="O10">IFERROR(INDEX(_Data!O2:O111,SMALL(IF(ISNUMBER(SEARCH(IF(G4="",CHAR(1),G4),_Data!B2:B111)),ROW(_Data!B2:B111)-1),2)),"")</f>
        <v/>
      </c>
    </row>
    <row r="11" spans="1:16" ht="18" customHeight="1" x14ac:dyDescent="0.3">
      <c r="A11" s="2" t="str">
        <f t="array" ref="A11">IFERROR(INDEX(_Data!A2:A111,SMALL(IF(ISNUMBER(SEARCH(IF(G4="",CHAR(1),G4),_Data!B2:B111)),ROW(_Data!B2:B111)-1),3)),"")</f>
        <v/>
      </c>
      <c r="B11" s="3" t="str">
        <f t="array" ref="B11">IFERROR(INDEX(_Data!B2:B111,SMALL(IF(ISNUMBER(SEARCH(IF(G4="",CHAR(1),G4),_Data!B2:B111)),ROW(_Data!B2:B111)-1),3)),"")</f>
        <v/>
      </c>
      <c r="C11" s="2" t="str">
        <f t="array" ref="C11">IFERROR(INDEX(_Data!C2:C111,SMALL(IF(ISNUMBER(SEARCH(IF(G4="",CHAR(1),G4),_Data!B2:B111)),ROW(_Data!B2:B111)-1),3)),"")</f>
        <v/>
      </c>
      <c r="D11" s="2" t="str">
        <f t="array" ref="D11">IFERROR(INDEX(_Data!D2:D111,SMALL(IF(ISNUMBER(SEARCH(IF(G4="",CHAR(1),G4),_Data!B2:B111)),ROW(_Data!B2:B111)-1),3)),"")</f>
        <v/>
      </c>
      <c r="E11" s="3" t="str">
        <f t="array" ref="E11">IFERROR(INDEX(_Data!E2:E111,SMALL(IF(ISNUMBER(SEARCH(IF(G4="",CHAR(1),G4),_Data!B2:B111)),ROW(_Data!B2:B111)-1),3)),"")</f>
        <v/>
      </c>
      <c r="F11" s="3" t="str">
        <f t="array" ref="F11">IFERROR(INDEX(_Data!F2:F111,SMALL(IF(ISNUMBER(SEARCH(IF(G4="",CHAR(1),G4),_Data!B2:B111)),ROW(_Data!B2:B111)-1),3)),"")</f>
        <v/>
      </c>
      <c r="G11" s="2" t="str">
        <f t="array" ref="G11">IFERROR(INDEX(_Data!G2:G111,SMALL(IF(ISNUMBER(SEARCH(IF(G4="",CHAR(1),G4),_Data!B2:B111)),ROW(_Data!B2:B111)-1),3)),"")</f>
        <v/>
      </c>
      <c r="H11" s="3" t="str">
        <f t="array" ref="H11">IFERROR(INDEX(_Data!H2:H111,SMALL(IF(ISNUMBER(SEARCH(IF(G4="",CHAR(1),G4),_Data!B2:B111)),ROW(_Data!B2:B111)-1),3)),"")</f>
        <v/>
      </c>
      <c r="I11" s="3" t="str">
        <f t="array" ref="I11">IFERROR(INDEX(_Data!I2:I111,SMALL(IF(ISNUMBER(SEARCH(IF(G4="",CHAR(1),G4),_Data!B2:B111)),ROW(_Data!B2:B111)-1),3)),"")</f>
        <v/>
      </c>
      <c r="J11" s="2" t="str">
        <f t="array" ref="J11">IFERROR(INDEX(_Data!J2:J111,SMALL(IF(ISNUMBER(SEARCH(IF(G4="",CHAR(1),G4),_Data!B2:B111)),ROW(_Data!B2:B111)-1),3)),"")</f>
        <v/>
      </c>
      <c r="K11" s="2" t="str">
        <f t="array" ref="K11">IFERROR(INDEX(_Data!K2:K111,SMALL(IF(ISNUMBER(SEARCH(IF(G4="",CHAR(1),G4),_Data!B2:B111)),ROW(_Data!B2:B111)-1),3)),"")</f>
        <v/>
      </c>
      <c r="L11" s="2" t="str">
        <f t="array" ref="L11">IFERROR(INDEX(_Data!L2:L111,SMALL(IF(ISNUMBER(SEARCH(IF(G4="",CHAR(1),G4),_Data!B2:B111)),ROW(_Data!B2:B111)-1),3)),"")</f>
        <v/>
      </c>
      <c r="M11" s="3" t="str">
        <f t="array" ref="M11">IFERROR(INDEX(_Data!M2:M111,SMALL(IF(ISNUMBER(SEARCH(IF(G4="",CHAR(1),G4),_Data!B2:B111)),ROW(_Data!B2:B111)-1),3)),"")</f>
        <v/>
      </c>
      <c r="N11" s="3" t="str">
        <f t="array" ref="N11">IFERROR(INDEX(_Data!N2:N111,SMALL(IF(ISNUMBER(SEARCH(IF(G4="",CHAR(1),G4),_Data!B2:B111)),ROW(_Data!B2:B111)-1),3)),"")</f>
        <v/>
      </c>
      <c r="O11" s="3" t="str">
        <f t="array" ref="O11">IFERROR(INDEX(_Data!O2:O111,SMALL(IF(ISNUMBER(SEARCH(IF(G4="",CHAR(1),G4),_Data!B2:B111)),ROW(_Data!B2:B111)-1),3)),"")</f>
        <v/>
      </c>
    </row>
    <row r="12" spans="1:16" ht="18" customHeight="1" x14ac:dyDescent="0.3">
      <c r="A12" s="4" t="str">
        <f t="array" ref="A12">IFERROR(INDEX(_Data!A2:A111,SMALL(IF(ISNUMBER(SEARCH(IF(G4="",CHAR(1),G4),_Data!B2:B111)),ROW(_Data!B2:B111)-1),4)),"")</f>
        <v/>
      </c>
      <c r="B12" s="5" t="str">
        <f t="array" ref="B12">IFERROR(INDEX(_Data!B2:B111,SMALL(IF(ISNUMBER(SEARCH(IF(G4="",CHAR(1),G4),_Data!B2:B111)),ROW(_Data!B2:B111)-1),4)),"")</f>
        <v/>
      </c>
      <c r="C12" s="4" t="str">
        <f t="array" ref="C12">IFERROR(INDEX(_Data!C2:C111,SMALL(IF(ISNUMBER(SEARCH(IF(G4="",CHAR(1),G4),_Data!B2:B111)),ROW(_Data!B2:B111)-1),4)),"")</f>
        <v/>
      </c>
      <c r="D12" s="4" t="str">
        <f t="array" ref="D12">IFERROR(INDEX(_Data!D2:D111,SMALL(IF(ISNUMBER(SEARCH(IF(G4="",CHAR(1),G4),_Data!B2:B111)),ROW(_Data!B2:B111)-1),4)),"")</f>
        <v/>
      </c>
      <c r="E12" s="5" t="str">
        <f t="array" ref="E12">IFERROR(INDEX(_Data!E2:E111,SMALL(IF(ISNUMBER(SEARCH(IF(G4="",CHAR(1),G4),_Data!B2:B111)),ROW(_Data!B2:B111)-1),4)),"")</f>
        <v/>
      </c>
      <c r="F12" s="5" t="str">
        <f t="array" ref="F12">IFERROR(INDEX(_Data!F2:F111,SMALL(IF(ISNUMBER(SEARCH(IF(G4="",CHAR(1),G4),_Data!B2:B111)),ROW(_Data!B2:B111)-1),4)),"")</f>
        <v/>
      </c>
      <c r="G12" s="4" t="str">
        <f t="array" ref="G12">IFERROR(INDEX(_Data!G2:G111,SMALL(IF(ISNUMBER(SEARCH(IF(G4="",CHAR(1),G4),_Data!B2:B111)),ROW(_Data!B2:B111)-1),4)),"")</f>
        <v/>
      </c>
      <c r="H12" s="5" t="str">
        <f t="array" ref="H12">IFERROR(INDEX(_Data!H2:H111,SMALL(IF(ISNUMBER(SEARCH(IF(G4="",CHAR(1),G4),_Data!B2:B111)),ROW(_Data!B2:B111)-1),4)),"")</f>
        <v/>
      </c>
      <c r="I12" s="5" t="str">
        <f t="array" ref="I12">IFERROR(INDEX(_Data!I2:I111,SMALL(IF(ISNUMBER(SEARCH(IF(G4="",CHAR(1),G4),_Data!B2:B111)),ROW(_Data!B2:B111)-1),4)),"")</f>
        <v/>
      </c>
      <c r="J12" s="4" t="str">
        <f t="array" ref="J12">IFERROR(INDEX(_Data!J2:J111,SMALL(IF(ISNUMBER(SEARCH(IF(G4="",CHAR(1),G4),_Data!B2:B111)),ROW(_Data!B2:B111)-1),4)),"")</f>
        <v/>
      </c>
      <c r="K12" s="4" t="str">
        <f t="array" ref="K12">IFERROR(INDEX(_Data!K2:K111,SMALL(IF(ISNUMBER(SEARCH(IF(G4="",CHAR(1),G4),_Data!B2:B111)),ROW(_Data!B2:B111)-1),4)),"")</f>
        <v/>
      </c>
      <c r="L12" s="4" t="str">
        <f t="array" ref="L12">IFERROR(INDEX(_Data!L2:L111,SMALL(IF(ISNUMBER(SEARCH(IF(G4="",CHAR(1),G4),_Data!B2:B111)),ROW(_Data!B2:B111)-1),4)),"")</f>
        <v/>
      </c>
      <c r="M12" s="5" t="str">
        <f t="array" ref="M12">IFERROR(INDEX(_Data!M2:M111,SMALL(IF(ISNUMBER(SEARCH(IF(G4="",CHAR(1),G4),_Data!B2:B111)),ROW(_Data!B2:B111)-1),4)),"")</f>
        <v/>
      </c>
      <c r="N12" s="5" t="str">
        <f t="array" ref="N12">IFERROR(INDEX(_Data!N2:N111,SMALL(IF(ISNUMBER(SEARCH(IF(G4="",CHAR(1),G4),_Data!B2:B111)),ROW(_Data!B2:B111)-1),4)),"")</f>
        <v/>
      </c>
      <c r="O12" s="5" t="str">
        <f t="array" ref="O12">IFERROR(INDEX(_Data!O2:O111,SMALL(IF(ISNUMBER(SEARCH(IF(G4="",CHAR(1),G4),_Data!B2:B111)),ROW(_Data!B2:B111)-1),4)),"")</f>
        <v/>
      </c>
    </row>
    <row r="13" spans="1:16" ht="18" customHeight="1" x14ac:dyDescent="0.3">
      <c r="A13" s="2" t="str">
        <f t="array" ref="A13">IFERROR(INDEX(_Data!A2:A111,SMALL(IF(ISNUMBER(SEARCH(IF(G4="",CHAR(1),G4),_Data!B2:B111)),ROW(_Data!B2:B111)-1),5)),"")</f>
        <v/>
      </c>
      <c r="B13" s="3" t="str">
        <f t="array" ref="B13">IFERROR(INDEX(_Data!B2:B111,SMALL(IF(ISNUMBER(SEARCH(IF(G4="",CHAR(1),G4),_Data!B2:B111)),ROW(_Data!B2:B111)-1),5)),"")</f>
        <v/>
      </c>
      <c r="C13" s="2" t="str">
        <f t="array" ref="C13">IFERROR(INDEX(_Data!C2:C111,SMALL(IF(ISNUMBER(SEARCH(IF(G4="",CHAR(1),G4),_Data!B2:B111)),ROW(_Data!B2:B111)-1),5)),"")</f>
        <v/>
      </c>
      <c r="D13" s="2" t="str">
        <f t="array" ref="D13">IFERROR(INDEX(_Data!D2:D111,SMALL(IF(ISNUMBER(SEARCH(IF(G4="",CHAR(1),G4),_Data!B2:B111)),ROW(_Data!B2:B111)-1),5)),"")</f>
        <v/>
      </c>
      <c r="E13" s="3" t="str">
        <f t="array" ref="E13">IFERROR(INDEX(_Data!E2:E111,SMALL(IF(ISNUMBER(SEARCH(IF(G4="",CHAR(1),G4),_Data!B2:B111)),ROW(_Data!B2:B111)-1),5)),"")</f>
        <v/>
      </c>
      <c r="F13" s="3" t="str">
        <f t="array" ref="F13">IFERROR(INDEX(_Data!F2:F111,SMALL(IF(ISNUMBER(SEARCH(IF(G4="",CHAR(1),G4),_Data!B2:B111)),ROW(_Data!B2:B111)-1),5)),"")</f>
        <v/>
      </c>
      <c r="G13" s="2" t="str">
        <f t="array" ref="G13">IFERROR(INDEX(_Data!G2:G111,SMALL(IF(ISNUMBER(SEARCH(IF(G4="",CHAR(1),G4),_Data!B2:B111)),ROW(_Data!B2:B111)-1),5)),"")</f>
        <v/>
      </c>
      <c r="H13" s="3" t="str">
        <f t="array" ref="H13">IFERROR(INDEX(_Data!H2:H111,SMALL(IF(ISNUMBER(SEARCH(IF(G4="",CHAR(1),G4),_Data!B2:B111)),ROW(_Data!B2:B111)-1),5)),"")</f>
        <v/>
      </c>
      <c r="I13" s="3" t="str">
        <f t="array" ref="I13">IFERROR(INDEX(_Data!I2:I111,SMALL(IF(ISNUMBER(SEARCH(IF(G4="",CHAR(1),G4),_Data!B2:B111)),ROW(_Data!B2:B111)-1),5)),"")</f>
        <v/>
      </c>
      <c r="J13" s="2" t="str">
        <f t="array" ref="J13">IFERROR(INDEX(_Data!J2:J111,SMALL(IF(ISNUMBER(SEARCH(IF(G4="",CHAR(1),G4),_Data!B2:B111)),ROW(_Data!B2:B111)-1),5)),"")</f>
        <v/>
      </c>
      <c r="K13" s="2" t="str">
        <f t="array" ref="K13">IFERROR(INDEX(_Data!K2:K111,SMALL(IF(ISNUMBER(SEARCH(IF(G4="",CHAR(1),G4),_Data!B2:B111)),ROW(_Data!B2:B111)-1),5)),"")</f>
        <v/>
      </c>
      <c r="L13" s="2" t="str">
        <f t="array" ref="L13">IFERROR(INDEX(_Data!L2:L111,SMALL(IF(ISNUMBER(SEARCH(IF(G4="",CHAR(1),G4),_Data!B2:B111)),ROW(_Data!B2:B111)-1),5)),"")</f>
        <v/>
      </c>
      <c r="M13" s="3" t="str">
        <f t="array" ref="M13">IFERROR(INDEX(_Data!M2:M111,SMALL(IF(ISNUMBER(SEARCH(IF(G4="",CHAR(1),G4),_Data!B2:B111)),ROW(_Data!B2:B111)-1),5)),"")</f>
        <v/>
      </c>
      <c r="N13" s="3" t="str">
        <f t="array" ref="N13">IFERROR(INDEX(_Data!N2:N111,SMALL(IF(ISNUMBER(SEARCH(IF(G4="",CHAR(1),G4),_Data!B2:B111)),ROW(_Data!B2:B111)-1),5)),"")</f>
        <v/>
      </c>
      <c r="O13" s="3" t="str">
        <f t="array" ref="O13">IFERROR(INDEX(_Data!O2:O111,SMALL(IF(ISNUMBER(SEARCH(IF(G4="",CHAR(1),G4),_Data!B2:B111)),ROW(_Data!B2:B111)-1),5)),"")</f>
        <v/>
      </c>
    </row>
    <row r="14" spans="1:16" ht="18" hidden="1" customHeight="1" x14ac:dyDescent="0.3">
      <c r="A14" s="4" t="str">
        <f t="array" ref="A14">IFERROR(INDEX(_Data!A2:A111,SMALL(IF(ISNUMBER(SEARCH(IF(G4="",CHAR(1),G4),_Data!B2:B111)),ROW(_Data!B2:B111)-1),6)),"")</f>
        <v/>
      </c>
      <c r="B14" s="5" t="str">
        <f t="array" ref="B14">IFERROR(INDEX(_Data!B2:B111,SMALL(IF(ISNUMBER(SEARCH(IF(G4="",CHAR(1),G4),_Data!B2:B111)),ROW(_Data!B2:B111)-1),6)),"")</f>
        <v/>
      </c>
      <c r="C14" s="4" t="str">
        <f t="array" ref="C14">IFERROR(INDEX(_Data!C2:C111,SMALL(IF(ISNUMBER(SEARCH(IF(G4="",CHAR(1),G4),_Data!B2:B111)),ROW(_Data!B2:B111)-1),6)),"")</f>
        <v/>
      </c>
      <c r="D14" s="4" t="str">
        <f t="array" ref="D14">IFERROR(INDEX(_Data!D2:D111,SMALL(IF(ISNUMBER(SEARCH(IF(G4="",CHAR(1),G4),_Data!B2:B111)),ROW(_Data!B2:B111)-1),6)),"")</f>
        <v/>
      </c>
      <c r="E14" s="5" t="str">
        <f t="array" ref="E14">IFERROR(INDEX(_Data!E2:E111,SMALL(IF(ISNUMBER(SEARCH(IF(G4="",CHAR(1),G4),_Data!B2:B111)),ROW(_Data!B2:B111)-1),6)),"")</f>
        <v/>
      </c>
      <c r="F14" s="5" t="str">
        <f t="array" ref="F14">IFERROR(INDEX(_Data!F2:F111,SMALL(IF(ISNUMBER(SEARCH(IF(G4="",CHAR(1),G4),_Data!B2:B111)),ROW(_Data!B2:B111)-1),6)),"")</f>
        <v/>
      </c>
      <c r="G14" s="4" t="str">
        <f t="array" ref="G14">IFERROR(INDEX(_Data!G2:G111,SMALL(IF(ISNUMBER(SEARCH(IF(G4="",CHAR(1),G4),_Data!B2:B111)),ROW(_Data!B2:B111)-1),6)),"")</f>
        <v/>
      </c>
      <c r="H14" s="5" t="str">
        <f t="array" ref="H14">IFERROR(INDEX(_Data!H2:H111,SMALL(IF(ISNUMBER(SEARCH(IF(G4="",CHAR(1),G4),_Data!B2:B111)),ROW(_Data!B2:B111)-1),6)),"")</f>
        <v/>
      </c>
      <c r="I14" s="5" t="str">
        <f t="array" ref="I14">IFERROR(INDEX(_Data!I2:I111,SMALL(IF(ISNUMBER(SEARCH(IF(G4="",CHAR(1),G4),_Data!B2:B111)),ROW(_Data!B2:B111)-1),6)),"")</f>
        <v/>
      </c>
      <c r="J14" s="4" t="str">
        <f t="array" ref="J14">IFERROR(INDEX(_Data!J2:J111,SMALL(IF(ISNUMBER(SEARCH(IF(G4="",CHAR(1),G4),_Data!B2:B111)),ROW(_Data!B2:B111)-1),6)),"")</f>
        <v/>
      </c>
      <c r="K14" s="4" t="str">
        <f t="array" ref="K14">IFERROR(INDEX(_Data!K2:K111,SMALL(IF(ISNUMBER(SEARCH(IF(G4="",CHAR(1),G4),_Data!B2:B111)),ROW(_Data!B2:B111)-1),6)),"")</f>
        <v/>
      </c>
      <c r="L14" s="4" t="str">
        <f t="array" ref="L14">IFERROR(INDEX(_Data!L2:L111,SMALL(IF(ISNUMBER(SEARCH(IF(G4="",CHAR(1),G4),_Data!B2:B111)),ROW(_Data!B2:B111)-1),6)),"")</f>
        <v/>
      </c>
      <c r="M14" s="5" t="str">
        <f t="array" ref="M14">IFERROR(INDEX(_Data!M2:M111,SMALL(IF(ISNUMBER(SEARCH(IF(G4="",CHAR(1),G4),_Data!B2:B111)),ROW(_Data!B2:B111)-1),6)),"")</f>
        <v/>
      </c>
      <c r="N14" s="5" t="str">
        <f t="array" ref="N14">IFERROR(INDEX(_Data!N2:N111,SMALL(IF(ISNUMBER(SEARCH(IF(G4="",CHAR(1),G4),_Data!B2:B111)),ROW(_Data!B2:B111)-1),6)),"")</f>
        <v/>
      </c>
      <c r="O14" s="5" t="str">
        <f t="array" ref="O14">IFERROR(INDEX(_Data!O2:O111,SMALL(IF(ISNUMBER(SEARCH(IF(G4="",CHAR(1),G4),_Data!B2:B111)),ROW(_Data!B2:B111)-1),6)),"")</f>
        <v/>
      </c>
    </row>
    <row r="15" spans="1:16" ht="18" hidden="1" customHeight="1" x14ac:dyDescent="0.3">
      <c r="A15" s="2" t="str">
        <f t="array" ref="A15">IFERROR(INDEX(_Data!A2:A111,SMALL(IF(ISNUMBER(SEARCH(IF(G4="",CHAR(1),G4),_Data!B2:B111)),ROW(_Data!B2:B111)-1),7)),"")</f>
        <v/>
      </c>
      <c r="B15" s="3" t="str">
        <f t="array" ref="B15">IFERROR(INDEX(_Data!B2:B111,SMALL(IF(ISNUMBER(SEARCH(IF(G4="",CHAR(1),G4),_Data!B2:B111)),ROW(_Data!B2:B111)-1),7)),"")</f>
        <v/>
      </c>
      <c r="C15" s="2" t="str">
        <f t="array" ref="C15">IFERROR(INDEX(_Data!C2:C111,SMALL(IF(ISNUMBER(SEARCH(IF(G4="",CHAR(1),G4),_Data!B2:B111)),ROW(_Data!B2:B111)-1),7)),"")</f>
        <v/>
      </c>
      <c r="D15" s="2" t="str">
        <f t="array" ref="D15">IFERROR(INDEX(_Data!D2:D111,SMALL(IF(ISNUMBER(SEARCH(IF(G4="",CHAR(1),G4),_Data!B2:B111)),ROW(_Data!B2:B111)-1),7)),"")</f>
        <v/>
      </c>
      <c r="E15" s="3" t="str">
        <f t="array" ref="E15">IFERROR(INDEX(_Data!E2:E111,SMALL(IF(ISNUMBER(SEARCH(IF(G4="",CHAR(1),G4),_Data!B2:B111)),ROW(_Data!B2:B111)-1),7)),"")</f>
        <v/>
      </c>
      <c r="F15" s="3" t="str">
        <f t="array" ref="F15">IFERROR(INDEX(_Data!F2:F111,SMALL(IF(ISNUMBER(SEARCH(IF(G4="",CHAR(1),G4),_Data!B2:B111)),ROW(_Data!B2:B111)-1),7)),"")</f>
        <v/>
      </c>
      <c r="G15" s="2" t="str">
        <f t="array" ref="G15">IFERROR(INDEX(_Data!G2:G111,SMALL(IF(ISNUMBER(SEARCH(IF(G4="",CHAR(1),G4),_Data!B2:B111)),ROW(_Data!B2:B111)-1),7)),"")</f>
        <v/>
      </c>
      <c r="H15" s="3" t="str">
        <f t="array" ref="H15">IFERROR(INDEX(_Data!H2:H111,SMALL(IF(ISNUMBER(SEARCH(IF(G4="",CHAR(1),G4),_Data!B2:B111)),ROW(_Data!B2:B111)-1),7)),"")</f>
        <v/>
      </c>
      <c r="I15" s="3" t="str">
        <f t="array" ref="I15">IFERROR(INDEX(_Data!I2:I111,SMALL(IF(ISNUMBER(SEARCH(IF(G4="",CHAR(1),G4),_Data!B2:B111)),ROW(_Data!B2:B111)-1),7)),"")</f>
        <v/>
      </c>
      <c r="J15" s="2" t="str">
        <f t="array" ref="J15">IFERROR(INDEX(_Data!J2:J111,SMALL(IF(ISNUMBER(SEARCH(IF(G4="",CHAR(1),G4),_Data!B2:B111)),ROW(_Data!B2:B111)-1),7)),"")</f>
        <v/>
      </c>
      <c r="K15" s="2" t="str">
        <f t="array" ref="K15">IFERROR(INDEX(_Data!K2:K111,SMALL(IF(ISNUMBER(SEARCH(IF(G4="",CHAR(1),G4),_Data!B2:B111)),ROW(_Data!B2:B111)-1),7)),"")</f>
        <v/>
      </c>
      <c r="L15" s="2" t="str">
        <f t="array" ref="L15">IFERROR(INDEX(_Data!L2:L111,SMALL(IF(ISNUMBER(SEARCH(IF(G4="",CHAR(1),G4),_Data!B2:B111)),ROW(_Data!B2:B111)-1),7)),"")</f>
        <v/>
      </c>
      <c r="M15" s="3" t="str">
        <f t="array" ref="M15">IFERROR(INDEX(_Data!M2:M111,SMALL(IF(ISNUMBER(SEARCH(IF(G4="",CHAR(1),G4),_Data!B2:B111)),ROW(_Data!B2:B111)-1),7)),"")</f>
        <v/>
      </c>
      <c r="N15" s="3" t="str">
        <f t="array" ref="N15">IFERROR(INDEX(_Data!N2:N111,SMALL(IF(ISNUMBER(SEARCH(IF(G4="",CHAR(1),G4),_Data!B2:B111)),ROW(_Data!B2:B111)-1),7)),"")</f>
        <v/>
      </c>
      <c r="O15" s="3" t="str">
        <f t="array" ref="O15">IFERROR(INDEX(_Data!O2:O111,SMALL(IF(ISNUMBER(SEARCH(IF(G4="",CHAR(1),G4),_Data!B2:B111)),ROW(_Data!B2:B111)-1),7)),"")</f>
        <v/>
      </c>
    </row>
    <row r="16" spans="1:16" ht="18" hidden="1" customHeight="1" x14ac:dyDescent="0.3">
      <c r="A16" s="4" t="str">
        <f t="array" ref="A16">IFERROR(INDEX(_Data!A2:A111,SMALL(IF(ISNUMBER(SEARCH(IF(G4="",CHAR(1),G4),_Data!B2:B111)),ROW(_Data!B2:B111)-1),8)),"")</f>
        <v/>
      </c>
      <c r="B16" s="5" t="str">
        <f t="array" ref="B16">IFERROR(INDEX(_Data!B2:B111,SMALL(IF(ISNUMBER(SEARCH(IF(G4="",CHAR(1),G4),_Data!B2:B111)),ROW(_Data!B2:B111)-1),8)),"")</f>
        <v/>
      </c>
      <c r="C16" s="4" t="str">
        <f t="array" ref="C16">IFERROR(INDEX(_Data!C2:C111,SMALL(IF(ISNUMBER(SEARCH(IF(G4="",CHAR(1),G4),_Data!B2:B111)),ROW(_Data!B2:B111)-1),8)),"")</f>
        <v/>
      </c>
      <c r="D16" s="4" t="str">
        <f t="array" ref="D16">IFERROR(INDEX(_Data!D2:D111,SMALL(IF(ISNUMBER(SEARCH(IF(G4="",CHAR(1),G4),_Data!B2:B111)),ROW(_Data!B2:B111)-1),8)),"")</f>
        <v/>
      </c>
      <c r="E16" s="5" t="str">
        <f t="array" ref="E16">IFERROR(INDEX(_Data!E2:E111,SMALL(IF(ISNUMBER(SEARCH(IF(G4="",CHAR(1),G4),_Data!B2:B111)),ROW(_Data!B2:B111)-1),8)),"")</f>
        <v/>
      </c>
      <c r="F16" s="5" t="str">
        <f t="array" ref="F16">IFERROR(INDEX(_Data!F2:F111,SMALL(IF(ISNUMBER(SEARCH(IF(G4="",CHAR(1),G4),_Data!B2:B111)),ROW(_Data!B2:B111)-1),8)),"")</f>
        <v/>
      </c>
      <c r="G16" s="4" t="str">
        <f t="array" ref="G16">IFERROR(INDEX(_Data!G2:G111,SMALL(IF(ISNUMBER(SEARCH(IF(G4="",CHAR(1),G4),_Data!B2:B111)),ROW(_Data!B2:B111)-1),8)),"")</f>
        <v/>
      </c>
      <c r="H16" s="5" t="str">
        <f t="array" ref="H16">IFERROR(INDEX(_Data!H2:H111,SMALL(IF(ISNUMBER(SEARCH(IF(G4="",CHAR(1),G4),_Data!B2:B111)),ROW(_Data!B2:B111)-1),8)),"")</f>
        <v/>
      </c>
      <c r="I16" s="5" t="str">
        <f t="array" ref="I16">IFERROR(INDEX(_Data!I2:I111,SMALL(IF(ISNUMBER(SEARCH(IF(G4="",CHAR(1),G4),_Data!B2:B111)),ROW(_Data!B2:B111)-1),8)),"")</f>
        <v/>
      </c>
      <c r="J16" s="4" t="str">
        <f t="array" ref="J16">IFERROR(INDEX(_Data!J2:J111,SMALL(IF(ISNUMBER(SEARCH(IF(G4="",CHAR(1),G4),_Data!B2:B111)),ROW(_Data!B2:B111)-1),8)),"")</f>
        <v/>
      </c>
      <c r="K16" s="4" t="str">
        <f t="array" ref="K16">IFERROR(INDEX(_Data!K2:K111,SMALL(IF(ISNUMBER(SEARCH(IF(G4="",CHAR(1),G4),_Data!B2:B111)),ROW(_Data!B2:B111)-1),8)),"")</f>
        <v/>
      </c>
      <c r="L16" s="4" t="str">
        <f t="array" ref="L16">IFERROR(INDEX(_Data!L2:L111,SMALL(IF(ISNUMBER(SEARCH(IF(G4="",CHAR(1),G4),_Data!B2:B111)),ROW(_Data!B2:B111)-1),8)),"")</f>
        <v/>
      </c>
      <c r="M16" s="5" t="str">
        <f t="array" ref="M16">IFERROR(INDEX(_Data!M2:M111,SMALL(IF(ISNUMBER(SEARCH(IF(G4="",CHAR(1),G4),_Data!B2:B111)),ROW(_Data!B2:B111)-1),8)),"")</f>
        <v/>
      </c>
      <c r="N16" s="5" t="str">
        <f t="array" ref="N16">IFERROR(INDEX(_Data!N2:N111,SMALL(IF(ISNUMBER(SEARCH(IF(G4="",CHAR(1),G4),_Data!B2:B111)),ROW(_Data!B2:B111)-1),8)),"")</f>
        <v/>
      </c>
      <c r="O16" s="5" t="str">
        <f t="array" ref="O16">IFERROR(INDEX(_Data!O2:O111,SMALL(IF(ISNUMBER(SEARCH(IF(G4="",CHAR(1),G4),_Data!B2:B111)),ROW(_Data!B2:B111)-1),8)),"")</f>
        <v/>
      </c>
    </row>
    <row r="17" spans="1:15" ht="18" hidden="1" customHeight="1" x14ac:dyDescent="0.3">
      <c r="A17" s="2" t="str">
        <f t="array" ref="A17">IFERROR(INDEX(_Data!A2:A111,SMALL(IF(ISNUMBER(SEARCH(IF(G4="",CHAR(1),G4),_Data!B2:B111)),ROW(_Data!B2:B111)-1),9)),"")</f>
        <v/>
      </c>
      <c r="B17" s="3" t="str">
        <f t="array" ref="B17">IFERROR(INDEX(_Data!B2:B111,SMALL(IF(ISNUMBER(SEARCH(IF(G4="",CHAR(1),G4),_Data!B2:B111)),ROW(_Data!B2:B111)-1),9)),"")</f>
        <v/>
      </c>
      <c r="C17" s="2" t="str">
        <f t="array" ref="C17">IFERROR(INDEX(_Data!C2:C111,SMALL(IF(ISNUMBER(SEARCH(IF(G4="",CHAR(1),G4),_Data!B2:B111)),ROW(_Data!B2:B111)-1),9)),"")</f>
        <v/>
      </c>
      <c r="D17" s="2" t="str">
        <f t="array" ref="D17">IFERROR(INDEX(_Data!D2:D111,SMALL(IF(ISNUMBER(SEARCH(IF(G4="",CHAR(1),G4),_Data!B2:B111)),ROW(_Data!B2:B111)-1),9)),"")</f>
        <v/>
      </c>
      <c r="E17" s="3" t="str">
        <f t="array" ref="E17">IFERROR(INDEX(_Data!E2:E111,SMALL(IF(ISNUMBER(SEARCH(IF(G4="",CHAR(1),G4),_Data!B2:B111)),ROW(_Data!B2:B111)-1),9)),"")</f>
        <v/>
      </c>
      <c r="F17" s="3" t="str">
        <f t="array" ref="F17">IFERROR(INDEX(_Data!F2:F111,SMALL(IF(ISNUMBER(SEARCH(IF(G4="",CHAR(1),G4),_Data!B2:B111)),ROW(_Data!B2:B111)-1),9)),"")</f>
        <v/>
      </c>
      <c r="G17" s="2" t="str">
        <f t="array" ref="G17">IFERROR(INDEX(_Data!G2:G111,SMALL(IF(ISNUMBER(SEARCH(IF(G4="",CHAR(1),G4),_Data!B2:B111)),ROW(_Data!B2:B111)-1),9)),"")</f>
        <v/>
      </c>
      <c r="H17" s="3" t="str">
        <f t="array" ref="H17">IFERROR(INDEX(_Data!H2:H111,SMALL(IF(ISNUMBER(SEARCH(IF(G4="",CHAR(1),G4),_Data!B2:B111)),ROW(_Data!B2:B111)-1),9)),"")</f>
        <v/>
      </c>
      <c r="I17" s="3" t="str">
        <f t="array" ref="I17">IFERROR(INDEX(_Data!I2:I111,SMALL(IF(ISNUMBER(SEARCH(IF(G4="",CHAR(1),G4),_Data!B2:B111)),ROW(_Data!B2:B111)-1),9)),"")</f>
        <v/>
      </c>
      <c r="J17" s="2" t="str">
        <f t="array" ref="J17">IFERROR(INDEX(_Data!J2:J111,SMALL(IF(ISNUMBER(SEARCH(IF(G4="",CHAR(1),G4),_Data!B2:B111)),ROW(_Data!B2:B111)-1),9)),"")</f>
        <v/>
      </c>
      <c r="K17" s="2" t="str">
        <f t="array" ref="K17">IFERROR(INDEX(_Data!K2:K111,SMALL(IF(ISNUMBER(SEARCH(IF(G4="",CHAR(1),G4),_Data!B2:B111)),ROW(_Data!B2:B111)-1),9)),"")</f>
        <v/>
      </c>
      <c r="L17" s="2" t="str">
        <f t="array" ref="L17">IFERROR(INDEX(_Data!L2:L111,SMALL(IF(ISNUMBER(SEARCH(IF(G4="",CHAR(1),G4),_Data!B2:B111)),ROW(_Data!B2:B111)-1),9)),"")</f>
        <v/>
      </c>
      <c r="M17" s="3" t="str">
        <f t="array" ref="M17">IFERROR(INDEX(_Data!M2:M111,SMALL(IF(ISNUMBER(SEARCH(IF(G4="",CHAR(1),G4),_Data!B2:B111)),ROW(_Data!B2:B111)-1),9)),"")</f>
        <v/>
      </c>
      <c r="N17" s="3" t="str">
        <f t="array" ref="N17">IFERROR(INDEX(_Data!N2:N111,SMALL(IF(ISNUMBER(SEARCH(IF(G4="",CHAR(1),G4),_Data!B2:B111)),ROW(_Data!B2:B111)-1),9)),"")</f>
        <v/>
      </c>
      <c r="O17" s="3" t="str">
        <f t="array" ref="O17">IFERROR(INDEX(_Data!O2:O111,SMALL(IF(ISNUMBER(SEARCH(IF(G4="",CHAR(1),G4),_Data!B2:B111)),ROW(_Data!B2:B111)-1),9)),"")</f>
        <v/>
      </c>
    </row>
    <row r="18" spans="1:15" ht="18" hidden="1" customHeight="1" x14ac:dyDescent="0.3">
      <c r="A18" s="4" t="str">
        <f t="array" ref="A18">IFERROR(INDEX(_Data!A2:A111,SMALL(IF(ISNUMBER(SEARCH(IF(G4="",CHAR(1),G4),_Data!B2:B111)),ROW(_Data!B2:B111)-1),10)),"")</f>
        <v/>
      </c>
      <c r="B18" s="5" t="str">
        <f t="array" ref="B18">IFERROR(INDEX(_Data!B2:B111,SMALL(IF(ISNUMBER(SEARCH(IF(G4="",CHAR(1),G4),_Data!B2:B111)),ROW(_Data!B2:B111)-1),10)),"")</f>
        <v/>
      </c>
      <c r="C18" s="4" t="str">
        <f t="array" ref="C18">IFERROR(INDEX(_Data!C2:C111,SMALL(IF(ISNUMBER(SEARCH(IF(G4="",CHAR(1),G4),_Data!B2:B111)),ROW(_Data!B2:B111)-1),10)),"")</f>
        <v/>
      </c>
      <c r="D18" s="4" t="str">
        <f t="array" ref="D18">IFERROR(INDEX(_Data!D2:D111,SMALL(IF(ISNUMBER(SEARCH(IF(G4="",CHAR(1),G4),_Data!B2:B111)),ROW(_Data!B2:B111)-1),10)),"")</f>
        <v/>
      </c>
      <c r="E18" s="5" t="str">
        <f t="array" ref="E18">IFERROR(INDEX(_Data!E2:E111,SMALL(IF(ISNUMBER(SEARCH(IF(G4="",CHAR(1),G4),_Data!B2:B111)),ROW(_Data!B2:B111)-1),10)),"")</f>
        <v/>
      </c>
      <c r="F18" s="5" t="str">
        <f t="array" ref="F18">IFERROR(INDEX(_Data!F2:F111,SMALL(IF(ISNUMBER(SEARCH(IF(G4="",CHAR(1),G4),_Data!B2:B111)),ROW(_Data!B2:B111)-1),10)),"")</f>
        <v/>
      </c>
      <c r="G18" s="4" t="str">
        <f t="array" ref="G18">IFERROR(INDEX(_Data!G2:G111,SMALL(IF(ISNUMBER(SEARCH(IF(G4="",CHAR(1),G4),_Data!B2:B111)),ROW(_Data!B2:B111)-1),10)),"")</f>
        <v/>
      </c>
      <c r="H18" s="5" t="str">
        <f t="array" ref="H18">IFERROR(INDEX(_Data!H2:H111,SMALL(IF(ISNUMBER(SEARCH(IF(G4="",CHAR(1),G4),_Data!B2:B111)),ROW(_Data!B2:B111)-1),10)),"")</f>
        <v/>
      </c>
      <c r="I18" s="5" t="str">
        <f t="array" ref="I18">IFERROR(INDEX(_Data!I2:I111,SMALL(IF(ISNUMBER(SEARCH(IF(G4="",CHAR(1),G4),_Data!B2:B111)),ROW(_Data!B2:B111)-1),10)),"")</f>
        <v/>
      </c>
      <c r="J18" s="4" t="str">
        <f t="array" ref="J18">IFERROR(INDEX(_Data!J2:J111,SMALL(IF(ISNUMBER(SEARCH(IF(G4="",CHAR(1),G4),_Data!B2:B111)),ROW(_Data!B2:B111)-1),10)),"")</f>
        <v/>
      </c>
      <c r="K18" s="4" t="str">
        <f t="array" ref="K18">IFERROR(INDEX(_Data!K2:K111,SMALL(IF(ISNUMBER(SEARCH(IF(G4="",CHAR(1),G4),_Data!B2:B111)),ROW(_Data!B2:B111)-1),10)),"")</f>
        <v/>
      </c>
      <c r="L18" s="4" t="str">
        <f t="array" ref="L18">IFERROR(INDEX(_Data!L2:L111,SMALL(IF(ISNUMBER(SEARCH(IF(G4="",CHAR(1),G4),_Data!B2:B111)),ROW(_Data!B2:B111)-1),10)),"")</f>
        <v/>
      </c>
      <c r="M18" s="5" t="str">
        <f t="array" ref="M18">IFERROR(INDEX(_Data!M2:M111,SMALL(IF(ISNUMBER(SEARCH(IF(G4="",CHAR(1),G4),_Data!B2:B111)),ROW(_Data!B2:B111)-1),10)),"")</f>
        <v/>
      </c>
      <c r="N18" s="5" t="str">
        <f t="array" ref="N18">IFERROR(INDEX(_Data!N2:N111,SMALL(IF(ISNUMBER(SEARCH(IF(G4="",CHAR(1),G4),_Data!B2:B111)),ROW(_Data!B2:B111)-1),10)),"")</f>
        <v/>
      </c>
      <c r="O18" s="5" t="str">
        <f t="array" ref="O18">IFERROR(INDEX(_Data!O2:O111,SMALL(IF(ISNUMBER(SEARCH(IF(G4="",CHAR(1),G4),_Data!B2:B111)),ROW(_Data!B2:B111)-1),10)),"")</f>
        <v/>
      </c>
    </row>
    <row r="19" spans="1:15" ht="18" hidden="1" customHeight="1" x14ac:dyDescent="0.3">
      <c r="A19" s="2" t="str">
        <f t="array" ref="A19">IFERROR(INDEX(_Data!A2:A111,SMALL(IF(ISNUMBER(SEARCH(IF(G4="",CHAR(1),G4),_Data!B2:B111)),ROW(_Data!B2:B111)-1),11)),"")</f>
        <v/>
      </c>
      <c r="B19" s="3" t="str">
        <f t="array" ref="B19">IFERROR(INDEX(_Data!B2:B111,SMALL(IF(ISNUMBER(SEARCH(IF(G4="",CHAR(1),G4),_Data!B2:B111)),ROW(_Data!B2:B111)-1),11)),"")</f>
        <v/>
      </c>
      <c r="C19" s="2" t="str">
        <f t="array" ref="C19">IFERROR(INDEX(_Data!C2:C111,SMALL(IF(ISNUMBER(SEARCH(IF(G4="",CHAR(1),G4),_Data!B2:B111)),ROW(_Data!B2:B111)-1),11)),"")</f>
        <v/>
      </c>
      <c r="D19" s="2" t="str">
        <f t="array" ref="D19">IFERROR(INDEX(_Data!D2:D111,SMALL(IF(ISNUMBER(SEARCH(IF(G4="",CHAR(1),G4),_Data!B2:B111)),ROW(_Data!B2:B111)-1),11)),"")</f>
        <v/>
      </c>
      <c r="E19" s="3" t="str">
        <f t="array" ref="E19">IFERROR(INDEX(_Data!E2:E111,SMALL(IF(ISNUMBER(SEARCH(IF(G4="",CHAR(1),G4),_Data!B2:B111)),ROW(_Data!B2:B111)-1),11)),"")</f>
        <v/>
      </c>
      <c r="F19" s="3" t="str">
        <f t="array" ref="F19">IFERROR(INDEX(_Data!F2:F111,SMALL(IF(ISNUMBER(SEARCH(IF(G4="",CHAR(1),G4),_Data!B2:B111)),ROW(_Data!B2:B111)-1),11)),"")</f>
        <v/>
      </c>
      <c r="G19" s="2" t="str">
        <f t="array" ref="G19">IFERROR(INDEX(_Data!G2:G111,SMALL(IF(ISNUMBER(SEARCH(IF(G4="",CHAR(1),G4),_Data!B2:B111)),ROW(_Data!B2:B111)-1),11)),"")</f>
        <v/>
      </c>
      <c r="H19" s="3" t="str">
        <f t="array" ref="H19">IFERROR(INDEX(_Data!H2:H111,SMALL(IF(ISNUMBER(SEARCH(IF(G4="",CHAR(1),G4),_Data!B2:B111)),ROW(_Data!B2:B111)-1),11)),"")</f>
        <v/>
      </c>
      <c r="I19" s="3" t="str">
        <f t="array" ref="I19">IFERROR(INDEX(_Data!I2:I111,SMALL(IF(ISNUMBER(SEARCH(IF(G4="",CHAR(1),G4),_Data!B2:B111)),ROW(_Data!B2:B111)-1),11)),"")</f>
        <v/>
      </c>
      <c r="J19" s="2" t="str">
        <f t="array" ref="J19">IFERROR(INDEX(_Data!J2:J111,SMALL(IF(ISNUMBER(SEARCH(IF(G4="",CHAR(1),G4),_Data!B2:B111)),ROW(_Data!B2:B111)-1),11)),"")</f>
        <v/>
      </c>
      <c r="K19" s="2" t="str">
        <f t="array" ref="K19">IFERROR(INDEX(_Data!K2:K111,SMALL(IF(ISNUMBER(SEARCH(IF(G4="",CHAR(1),G4),_Data!B2:B111)),ROW(_Data!B2:B111)-1),11)),"")</f>
        <v/>
      </c>
      <c r="L19" s="2" t="str">
        <f t="array" ref="L19">IFERROR(INDEX(_Data!L2:L111,SMALL(IF(ISNUMBER(SEARCH(IF(G4="",CHAR(1),G4),_Data!B2:B111)),ROW(_Data!B2:B111)-1),11)),"")</f>
        <v/>
      </c>
      <c r="M19" s="3" t="str">
        <f t="array" ref="M19">IFERROR(INDEX(_Data!M2:M111,SMALL(IF(ISNUMBER(SEARCH(IF(G4="",CHAR(1),G4),_Data!B2:B111)),ROW(_Data!B2:B111)-1),11)),"")</f>
        <v/>
      </c>
      <c r="N19" s="3" t="str">
        <f t="array" ref="N19">IFERROR(INDEX(_Data!N2:N111,SMALL(IF(ISNUMBER(SEARCH(IF(G4="",CHAR(1),G4),_Data!B2:B111)),ROW(_Data!B2:B111)-1),11)),"")</f>
        <v/>
      </c>
      <c r="O19" s="3" t="str">
        <f t="array" ref="O19">IFERROR(INDEX(_Data!O2:O111,SMALL(IF(ISNUMBER(SEARCH(IF(G4="",CHAR(1),G4),_Data!B2:B111)),ROW(_Data!B2:B111)-1),11)),"")</f>
        <v/>
      </c>
    </row>
    <row r="20" spans="1:15" ht="18" hidden="1" customHeight="1" x14ac:dyDescent="0.3">
      <c r="A20" s="4" t="str">
        <f t="array" ref="A20">IFERROR(INDEX(_Data!A2:A111,SMALL(IF(ISNUMBER(SEARCH(IF(G4="",CHAR(1),G4),_Data!B2:B111)),ROW(_Data!B2:B111)-1),12)),"")</f>
        <v/>
      </c>
      <c r="B20" s="5" t="str">
        <f t="array" ref="B20">IFERROR(INDEX(_Data!B2:B111,SMALL(IF(ISNUMBER(SEARCH(IF(G4="",CHAR(1),G4),_Data!B2:B111)),ROW(_Data!B2:B111)-1),12)),"")</f>
        <v/>
      </c>
      <c r="C20" s="4" t="str">
        <f t="array" ref="C20">IFERROR(INDEX(_Data!C2:C111,SMALL(IF(ISNUMBER(SEARCH(IF(G4="",CHAR(1),G4),_Data!B2:B111)),ROW(_Data!B2:B111)-1),12)),"")</f>
        <v/>
      </c>
      <c r="D20" s="4" t="str">
        <f t="array" ref="D20">IFERROR(INDEX(_Data!D2:D111,SMALL(IF(ISNUMBER(SEARCH(IF(G4="",CHAR(1),G4),_Data!B2:B111)),ROW(_Data!B2:B111)-1),12)),"")</f>
        <v/>
      </c>
      <c r="E20" s="5" t="str">
        <f t="array" ref="E20">IFERROR(INDEX(_Data!E2:E111,SMALL(IF(ISNUMBER(SEARCH(IF(G4="",CHAR(1),G4),_Data!B2:B111)),ROW(_Data!B2:B111)-1),12)),"")</f>
        <v/>
      </c>
      <c r="F20" s="5" t="str">
        <f t="array" ref="F20">IFERROR(INDEX(_Data!F2:F111,SMALL(IF(ISNUMBER(SEARCH(IF(G4="",CHAR(1),G4),_Data!B2:B111)),ROW(_Data!B2:B111)-1),12)),"")</f>
        <v/>
      </c>
      <c r="G20" s="4" t="str">
        <f t="array" ref="G20">IFERROR(INDEX(_Data!G2:G111,SMALL(IF(ISNUMBER(SEARCH(IF(G4="",CHAR(1),G4),_Data!B2:B111)),ROW(_Data!B2:B111)-1),12)),"")</f>
        <v/>
      </c>
      <c r="H20" s="5" t="str">
        <f t="array" ref="H20">IFERROR(INDEX(_Data!H2:H111,SMALL(IF(ISNUMBER(SEARCH(IF(G4="",CHAR(1),G4),_Data!B2:B111)),ROW(_Data!B2:B111)-1),12)),"")</f>
        <v/>
      </c>
      <c r="I20" s="5" t="str">
        <f t="array" ref="I20">IFERROR(INDEX(_Data!I2:I111,SMALL(IF(ISNUMBER(SEARCH(IF(G4="",CHAR(1),G4),_Data!B2:B111)),ROW(_Data!B2:B111)-1),12)),"")</f>
        <v/>
      </c>
      <c r="J20" s="4" t="str">
        <f t="array" ref="J20">IFERROR(INDEX(_Data!J2:J111,SMALL(IF(ISNUMBER(SEARCH(IF(G4="",CHAR(1),G4),_Data!B2:B111)),ROW(_Data!B2:B111)-1),12)),"")</f>
        <v/>
      </c>
      <c r="K20" s="4" t="str">
        <f t="array" ref="K20">IFERROR(INDEX(_Data!K2:K111,SMALL(IF(ISNUMBER(SEARCH(IF(G4="",CHAR(1),G4),_Data!B2:B111)),ROW(_Data!B2:B111)-1),12)),"")</f>
        <v/>
      </c>
      <c r="L20" s="4" t="str">
        <f t="array" ref="L20">IFERROR(INDEX(_Data!L2:L111,SMALL(IF(ISNUMBER(SEARCH(IF(G4="",CHAR(1),G4),_Data!B2:B111)),ROW(_Data!B2:B111)-1),12)),"")</f>
        <v/>
      </c>
      <c r="M20" s="5" t="str">
        <f t="array" ref="M20">IFERROR(INDEX(_Data!M2:M111,SMALL(IF(ISNUMBER(SEARCH(IF(G4="",CHAR(1),G4),_Data!B2:B111)),ROW(_Data!B2:B111)-1),12)),"")</f>
        <v/>
      </c>
      <c r="N20" s="5" t="str">
        <f t="array" ref="N20">IFERROR(INDEX(_Data!N2:N111,SMALL(IF(ISNUMBER(SEARCH(IF(G4="",CHAR(1),G4),_Data!B2:B111)),ROW(_Data!B2:B111)-1),12)),"")</f>
        <v/>
      </c>
      <c r="O20" s="5" t="str">
        <f t="array" ref="O20">IFERROR(INDEX(_Data!O2:O111,SMALL(IF(ISNUMBER(SEARCH(IF(G4="",CHAR(1),G4),_Data!B2:B111)),ROW(_Data!B2:B111)-1),12)),"")</f>
        <v/>
      </c>
    </row>
    <row r="21" spans="1:15" ht="18" hidden="1" customHeight="1" x14ac:dyDescent="0.3">
      <c r="A21" s="2" t="str">
        <f t="array" ref="A21">IFERROR(INDEX(_Data!A2:A111,SMALL(IF(ISNUMBER(SEARCH(IF(G4="",CHAR(1),G4),_Data!B2:B111)),ROW(_Data!B2:B111)-1),13)),"")</f>
        <v/>
      </c>
      <c r="B21" s="3" t="str">
        <f t="array" ref="B21">IFERROR(INDEX(_Data!B2:B111,SMALL(IF(ISNUMBER(SEARCH(IF(G4="",CHAR(1),G4),_Data!B2:B111)),ROW(_Data!B2:B111)-1),13)),"")</f>
        <v/>
      </c>
      <c r="C21" s="2" t="str">
        <f t="array" ref="C21">IFERROR(INDEX(_Data!C2:C111,SMALL(IF(ISNUMBER(SEARCH(IF(G4="",CHAR(1),G4),_Data!B2:B111)),ROW(_Data!B2:B111)-1),13)),"")</f>
        <v/>
      </c>
      <c r="D21" s="2" t="str">
        <f t="array" ref="D21">IFERROR(INDEX(_Data!D2:D111,SMALL(IF(ISNUMBER(SEARCH(IF(G4="",CHAR(1),G4),_Data!B2:B111)),ROW(_Data!B2:B111)-1),13)),"")</f>
        <v/>
      </c>
      <c r="E21" s="3" t="str">
        <f t="array" ref="E21">IFERROR(INDEX(_Data!E2:E111,SMALL(IF(ISNUMBER(SEARCH(IF(G4="",CHAR(1),G4),_Data!B2:B111)),ROW(_Data!B2:B111)-1),13)),"")</f>
        <v/>
      </c>
      <c r="F21" s="3" t="str">
        <f t="array" ref="F21">IFERROR(INDEX(_Data!F2:F111,SMALL(IF(ISNUMBER(SEARCH(IF(G4="",CHAR(1),G4),_Data!B2:B111)),ROW(_Data!B2:B111)-1),13)),"")</f>
        <v/>
      </c>
      <c r="G21" s="2" t="str">
        <f t="array" ref="G21">IFERROR(INDEX(_Data!G2:G111,SMALL(IF(ISNUMBER(SEARCH(IF(G4="",CHAR(1),G4),_Data!B2:B111)),ROW(_Data!B2:B111)-1),13)),"")</f>
        <v/>
      </c>
      <c r="H21" s="3" t="str">
        <f t="array" ref="H21">IFERROR(INDEX(_Data!H2:H111,SMALL(IF(ISNUMBER(SEARCH(IF(G4="",CHAR(1),G4),_Data!B2:B111)),ROW(_Data!B2:B111)-1),13)),"")</f>
        <v/>
      </c>
      <c r="I21" s="3" t="str">
        <f t="array" ref="I21">IFERROR(INDEX(_Data!I2:I111,SMALL(IF(ISNUMBER(SEARCH(IF(G4="",CHAR(1),G4),_Data!B2:B111)),ROW(_Data!B2:B111)-1),13)),"")</f>
        <v/>
      </c>
      <c r="J21" s="2" t="str">
        <f t="array" ref="J21">IFERROR(INDEX(_Data!J2:J111,SMALL(IF(ISNUMBER(SEARCH(IF(G4="",CHAR(1),G4),_Data!B2:B111)),ROW(_Data!B2:B111)-1),13)),"")</f>
        <v/>
      </c>
      <c r="K21" s="2" t="str">
        <f t="array" ref="K21">IFERROR(INDEX(_Data!K2:K111,SMALL(IF(ISNUMBER(SEARCH(IF(G4="",CHAR(1),G4),_Data!B2:B111)),ROW(_Data!B2:B111)-1),13)),"")</f>
        <v/>
      </c>
      <c r="L21" s="2" t="str">
        <f t="array" ref="L21">IFERROR(INDEX(_Data!L2:L111,SMALL(IF(ISNUMBER(SEARCH(IF(G4="",CHAR(1),G4),_Data!B2:B111)),ROW(_Data!B2:B111)-1),13)),"")</f>
        <v/>
      </c>
      <c r="M21" s="3" t="str">
        <f t="array" ref="M21">IFERROR(INDEX(_Data!M2:M111,SMALL(IF(ISNUMBER(SEARCH(IF(G4="",CHAR(1),G4),_Data!B2:B111)),ROW(_Data!B2:B111)-1),13)),"")</f>
        <v/>
      </c>
      <c r="N21" s="3" t="str">
        <f t="array" ref="N21">IFERROR(INDEX(_Data!N2:N111,SMALL(IF(ISNUMBER(SEARCH(IF(G4="",CHAR(1),G4),_Data!B2:B111)),ROW(_Data!B2:B111)-1),13)),"")</f>
        <v/>
      </c>
      <c r="O21" s="3" t="str">
        <f t="array" ref="O21">IFERROR(INDEX(_Data!O2:O111,SMALL(IF(ISNUMBER(SEARCH(IF(G4="",CHAR(1),G4),_Data!B2:B111)),ROW(_Data!B2:B111)-1),13)),"")</f>
        <v/>
      </c>
    </row>
    <row r="22" spans="1:15" ht="18" hidden="1" customHeight="1" x14ac:dyDescent="0.3">
      <c r="A22" s="4" t="str">
        <f t="array" ref="A22">IFERROR(INDEX(_Data!A2:A111,SMALL(IF(ISNUMBER(SEARCH(IF(G4="",CHAR(1),G4),_Data!B2:B111)),ROW(_Data!B2:B111)-1),14)),"")</f>
        <v/>
      </c>
      <c r="B22" s="5" t="str">
        <f t="array" ref="B22">IFERROR(INDEX(_Data!B2:B111,SMALL(IF(ISNUMBER(SEARCH(IF(G4="",CHAR(1),G4),_Data!B2:B111)),ROW(_Data!B2:B111)-1),14)),"")</f>
        <v/>
      </c>
      <c r="C22" s="4" t="str">
        <f t="array" ref="C22">IFERROR(INDEX(_Data!C2:C111,SMALL(IF(ISNUMBER(SEARCH(IF(G4="",CHAR(1),G4),_Data!B2:B111)),ROW(_Data!B2:B111)-1),14)),"")</f>
        <v/>
      </c>
      <c r="D22" s="4" t="str">
        <f t="array" ref="D22">IFERROR(INDEX(_Data!D2:D111,SMALL(IF(ISNUMBER(SEARCH(IF(G4="",CHAR(1),G4),_Data!B2:B111)),ROW(_Data!B2:B111)-1),14)),"")</f>
        <v/>
      </c>
      <c r="E22" s="5" t="str">
        <f t="array" ref="E22">IFERROR(INDEX(_Data!E2:E111,SMALL(IF(ISNUMBER(SEARCH(IF(G4="",CHAR(1),G4),_Data!B2:B111)),ROW(_Data!B2:B111)-1),14)),"")</f>
        <v/>
      </c>
      <c r="F22" s="5" t="str">
        <f t="array" ref="F22">IFERROR(INDEX(_Data!F2:F111,SMALL(IF(ISNUMBER(SEARCH(IF(G4="",CHAR(1),G4),_Data!B2:B111)),ROW(_Data!B2:B111)-1),14)),"")</f>
        <v/>
      </c>
      <c r="G22" s="4" t="str">
        <f t="array" ref="G22">IFERROR(INDEX(_Data!G2:G111,SMALL(IF(ISNUMBER(SEARCH(IF(G4="",CHAR(1),G4),_Data!B2:B111)),ROW(_Data!B2:B111)-1),14)),"")</f>
        <v/>
      </c>
      <c r="H22" s="5" t="str">
        <f t="array" ref="H22">IFERROR(INDEX(_Data!H2:H111,SMALL(IF(ISNUMBER(SEARCH(IF(G4="",CHAR(1),G4),_Data!B2:B111)),ROW(_Data!B2:B111)-1),14)),"")</f>
        <v/>
      </c>
      <c r="I22" s="5" t="str">
        <f t="array" ref="I22">IFERROR(INDEX(_Data!I2:I111,SMALL(IF(ISNUMBER(SEARCH(IF(G4="",CHAR(1),G4),_Data!B2:B111)),ROW(_Data!B2:B111)-1),14)),"")</f>
        <v/>
      </c>
      <c r="J22" s="4" t="str">
        <f t="array" ref="J22">IFERROR(INDEX(_Data!J2:J111,SMALL(IF(ISNUMBER(SEARCH(IF(G4="",CHAR(1),G4),_Data!B2:B111)),ROW(_Data!B2:B111)-1),14)),"")</f>
        <v/>
      </c>
      <c r="K22" s="4" t="str">
        <f t="array" ref="K22">IFERROR(INDEX(_Data!K2:K111,SMALL(IF(ISNUMBER(SEARCH(IF(G4="",CHAR(1),G4),_Data!B2:B111)),ROW(_Data!B2:B111)-1),14)),"")</f>
        <v/>
      </c>
      <c r="L22" s="4" t="str">
        <f t="array" ref="L22">IFERROR(INDEX(_Data!L2:L111,SMALL(IF(ISNUMBER(SEARCH(IF(G4="",CHAR(1),G4),_Data!B2:B111)),ROW(_Data!B2:B111)-1),14)),"")</f>
        <v/>
      </c>
      <c r="M22" s="5" t="str">
        <f t="array" ref="M22">IFERROR(INDEX(_Data!M2:M111,SMALL(IF(ISNUMBER(SEARCH(IF(G4="",CHAR(1),G4),_Data!B2:B111)),ROW(_Data!B2:B111)-1),14)),"")</f>
        <v/>
      </c>
      <c r="N22" s="5" t="str">
        <f t="array" ref="N22">IFERROR(INDEX(_Data!N2:N111,SMALL(IF(ISNUMBER(SEARCH(IF(G4="",CHAR(1),G4),_Data!B2:B111)),ROW(_Data!B2:B111)-1),14)),"")</f>
        <v/>
      </c>
      <c r="O22" s="5" t="str">
        <f t="array" ref="O22">IFERROR(INDEX(_Data!O2:O111,SMALL(IF(ISNUMBER(SEARCH(IF(G4="",CHAR(1),G4),_Data!B2:B111)),ROW(_Data!B2:B111)-1),14)),"")</f>
        <v/>
      </c>
    </row>
    <row r="23" spans="1:15" ht="18" hidden="1" customHeight="1" x14ac:dyDescent="0.3">
      <c r="A23" s="2" t="str">
        <f t="array" ref="A23">IFERROR(INDEX(_Data!A2:A111,SMALL(IF(ISNUMBER(SEARCH(IF(G4="",CHAR(1),G4),_Data!B2:B111)),ROW(_Data!B2:B111)-1),15)),"")</f>
        <v/>
      </c>
      <c r="B23" s="3" t="str">
        <f t="array" ref="B23">IFERROR(INDEX(_Data!B2:B111,SMALL(IF(ISNUMBER(SEARCH(IF(G4="",CHAR(1),G4),_Data!B2:B111)),ROW(_Data!B2:B111)-1),15)),"")</f>
        <v/>
      </c>
      <c r="C23" s="2" t="str">
        <f t="array" ref="C23">IFERROR(INDEX(_Data!C2:C111,SMALL(IF(ISNUMBER(SEARCH(IF(G4="",CHAR(1),G4),_Data!B2:B111)),ROW(_Data!B2:B111)-1),15)),"")</f>
        <v/>
      </c>
      <c r="D23" s="2" t="str">
        <f t="array" ref="D23">IFERROR(INDEX(_Data!D2:D111,SMALL(IF(ISNUMBER(SEARCH(IF(G4="",CHAR(1),G4),_Data!B2:B111)),ROW(_Data!B2:B111)-1),15)),"")</f>
        <v/>
      </c>
      <c r="E23" s="3" t="str">
        <f t="array" ref="E23">IFERROR(INDEX(_Data!E2:E111,SMALL(IF(ISNUMBER(SEARCH(IF(G4="",CHAR(1),G4),_Data!B2:B111)),ROW(_Data!B2:B111)-1),15)),"")</f>
        <v/>
      </c>
      <c r="F23" s="3" t="str">
        <f t="array" ref="F23">IFERROR(INDEX(_Data!F2:F111,SMALL(IF(ISNUMBER(SEARCH(IF(G4="",CHAR(1),G4),_Data!B2:B111)),ROW(_Data!B2:B111)-1),15)),"")</f>
        <v/>
      </c>
      <c r="G23" s="2" t="str">
        <f t="array" ref="G23">IFERROR(INDEX(_Data!G2:G111,SMALL(IF(ISNUMBER(SEARCH(IF(G4="",CHAR(1),G4),_Data!B2:B111)),ROW(_Data!B2:B111)-1),15)),"")</f>
        <v/>
      </c>
      <c r="H23" s="3" t="str">
        <f t="array" ref="H23">IFERROR(INDEX(_Data!H2:H111,SMALL(IF(ISNUMBER(SEARCH(IF(G4="",CHAR(1),G4),_Data!B2:B111)),ROW(_Data!B2:B111)-1),15)),"")</f>
        <v/>
      </c>
      <c r="I23" s="3" t="str">
        <f t="array" ref="I23">IFERROR(INDEX(_Data!I2:I111,SMALL(IF(ISNUMBER(SEARCH(IF(G4="",CHAR(1),G4),_Data!B2:B111)),ROW(_Data!B2:B111)-1),15)),"")</f>
        <v/>
      </c>
      <c r="J23" s="2" t="str">
        <f t="array" ref="J23">IFERROR(INDEX(_Data!J2:J111,SMALL(IF(ISNUMBER(SEARCH(IF(G4="",CHAR(1),G4),_Data!B2:B111)),ROW(_Data!B2:B111)-1),15)),"")</f>
        <v/>
      </c>
      <c r="K23" s="2" t="str">
        <f t="array" ref="K23">IFERROR(INDEX(_Data!K2:K111,SMALL(IF(ISNUMBER(SEARCH(IF(G4="",CHAR(1),G4),_Data!B2:B111)),ROW(_Data!B2:B111)-1),15)),"")</f>
        <v/>
      </c>
      <c r="L23" s="2" t="str">
        <f t="array" ref="L23">IFERROR(INDEX(_Data!L2:L111,SMALL(IF(ISNUMBER(SEARCH(IF(G4="",CHAR(1),G4),_Data!B2:B111)),ROW(_Data!B2:B111)-1),15)),"")</f>
        <v/>
      </c>
      <c r="M23" s="3" t="str">
        <f t="array" ref="M23">IFERROR(INDEX(_Data!M2:M111,SMALL(IF(ISNUMBER(SEARCH(IF(G4="",CHAR(1),G4),_Data!B2:B111)),ROW(_Data!B2:B111)-1),15)),"")</f>
        <v/>
      </c>
      <c r="N23" s="3" t="str">
        <f t="array" ref="N23">IFERROR(INDEX(_Data!N2:N111,SMALL(IF(ISNUMBER(SEARCH(IF(G4="",CHAR(1),G4),_Data!B2:B111)),ROW(_Data!B2:B111)-1),15)),"")</f>
        <v/>
      </c>
      <c r="O23" s="3" t="str">
        <f t="array" ref="O23">IFERROR(INDEX(_Data!O2:O111,SMALL(IF(ISNUMBER(SEARCH(IF(G4="",CHAR(1),G4),_Data!B2:B111)),ROW(_Data!B2:B111)-1),15)),"")</f>
        <v/>
      </c>
    </row>
    <row r="24" spans="1:15" ht="18" hidden="1" customHeight="1" x14ac:dyDescent="0.3">
      <c r="A24" s="4" t="str">
        <f t="array" ref="A24">IFERROR(INDEX(_Data!A2:A111,SMALL(IF(ISNUMBER(SEARCH(IF(G4="",CHAR(1),G4),_Data!B2:B111)),ROW(_Data!B2:B111)-1),16)),"")</f>
        <v/>
      </c>
      <c r="B24" s="5" t="str">
        <f t="array" ref="B24">IFERROR(INDEX(_Data!B2:B111,SMALL(IF(ISNUMBER(SEARCH(IF(G4="",CHAR(1),G4),_Data!B2:B111)),ROW(_Data!B2:B111)-1),16)),"")</f>
        <v/>
      </c>
      <c r="C24" s="4" t="str">
        <f t="array" ref="C24">IFERROR(INDEX(_Data!C2:C111,SMALL(IF(ISNUMBER(SEARCH(IF(G4="",CHAR(1),G4),_Data!B2:B111)),ROW(_Data!B2:B111)-1),16)),"")</f>
        <v/>
      </c>
      <c r="D24" s="4" t="str">
        <f t="array" ref="D24">IFERROR(INDEX(_Data!D2:D111,SMALL(IF(ISNUMBER(SEARCH(IF(G4="",CHAR(1),G4),_Data!B2:B111)),ROW(_Data!B2:B111)-1),16)),"")</f>
        <v/>
      </c>
      <c r="E24" s="5" t="str">
        <f t="array" ref="E24">IFERROR(INDEX(_Data!E2:E111,SMALL(IF(ISNUMBER(SEARCH(IF(G4="",CHAR(1),G4),_Data!B2:B111)),ROW(_Data!B2:B111)-1),16)),"")</f>
        <v/>
      </c>
      <c r="F24" s="5" t="str">
        <f t="array" ref="F24">IFERROR(INDEX(_Data!F2:F111,SMALL(IF(ISNUMBER(SEARCH(IF(G4="",CHAR(1),G4),_Data!B2:B111)),ROW(_Data!B2:B111)-1),16)),"")</f>
        <v/>
      </c>
      <c r="G24" s="4" t="str">
        <f t="array" ref="G24">IFERROR(INDEX(_Data!G2:G111,SMALL(IF(ISNUMBER(SEARCH(IF(G4="",CHAR(1),G4),_Data!B2:B111)),ROW(_Data!B2:B111)-1),16)),"")</f>
        <v/>
      </c>
      <c r="H24" s="5" t="str">
        <f t="array" ref="H24">IFERROR(INDEX(_Data!H2:H111,SMALL(IF(ISNUMBER(SEARCH(IF(G4="",CHAR(1),G4),_Data!B2:B111)),ROW(_Data!B2:B111)-1),16)),"")</f>
        <v/>
      </c>
      <c r="I24" s="5" t="str">
        <f t="array" ref="I24">IFERROR(INDEX(_Data!I2:I111,SMALL(IF(ISNUMBER(SEARCH(IF(G4="",CHAR(1),G4),_Data!B2:B111)),ROW(_Data!B2:B111)-1),16)),"")</f>
        <v/>
      </c>
      <c r="J24" s="4" t="str">
        <f t="array" ref="J24">IFERROR(INDEX(_Data!J2:J111,SMALL(IF(ISNUMBER(SEARCH(IF(G4="",CHAR(1),G4),_Data!B2:B111)),ROW(_Data!B2:B111)-1),16)),"")</f>
        <v/>
      </c>
      <c r="K24" s="4" t="str">
        <f t="array" ref="K24">IFERROR(INDEX(_Data!K2:K111,SMALL(IF(ISNUMBER(SEARCH(IF(G4="",CHAR(1),G4),_Data!B2:B111)),ROW(_Data!B2:B111)-1),16)),"")</f>
        <v/>
      </c>
      <c r="L24" s="4" t="str">
        <f t="array" ref="L24">IFERROR(INDEX(_Data!L2:L111,SMALL(IF(ISNUMBER(SEARCH(IF(G4="",CHAR(1),G4),_Data!B2:B111)),ROW(_Data!B2:B111)-1),16)),"")</f>
        <v/>
      </c>
      <c r="M24" s="5" t="str">
        <f t="array" ref="M24">IFERROR(INDEX(_Data!M2:M111,SMALL(IF(ISNUMBER(SEARCH(IF(G4="",CHAR(1),G4),_Data!B2:B111)),ROW(_Data!B2:B111)-1),16)),"")</f>
        <v/>
      </c>
      <c r="N24" s="5" t="str">
        <f t="array" ref="N24">IFERROR(INDEX(_Data!N2:N111,SMALL(IF(ISNUMBER(SEARCH(IF(G4="",CHAR(1),G4),_Data!B2:B111)),ROW(_Data!B2:B111)-1),16)),"")</f>
        <v/>
      </c>
      <c r="O24" s="5" t="str">
        <f t="array" ref="O24">IFERROR(INDEX(_Data!O2:O111,SMALL(IF(ISNUMBER(SEARCH(IF(G4="",CHAR(1),G4),_Data!B2:B111)),ROW(_Data!B2:B111)-1),16)),"")</f>
        <v/>
      </c>
    </row>
    <row r="25" spans="1:15" ht="18" hidden="1" customHeight="1" x14ac:dyDescent="0.3">
      <c r="A25" s="2" t="str">
        <f t="array" ref="A25">IFERROR(INDEX(_Data!A2:A111,SMALL(IF(ISNUMBER(SEARCH(IF(G4="",CHAR(1),G4),_Data!B2:B111)),ROW(_Data!B2:B111)-1),17)),"")</f>
        <v/>
      </c>
      <c r="B25" s="3" t="str">
        <f t="array" ref="B25">IFERROR(INDEX(_Data!B2:B111,SMALL(IF(ISNUMBER(SEARCH(IF(G4="",CHAR(1),G4),_Data!B2:B111)),ROW(_Data!B2:B111)-1),17)),"")</f>
        <v/>
      </c>
      <c r="C25" s="2" t="str">
        <f t="array" ref="C25">IFERROR(INDEX(_Data!C2:C111,SMALL(IF(ISNUMBER(SEARCH(IF(G4="",CHAR(1),G4),_Data!B2:B111)),ROW(_Data!B2:B111)-1),17)),"")</f>
        <v/>
      </c>
      <c r="D25" s="2" t="str">
        <f t="array" ref="D25">IFERROR(INDEX(_Data!D2:D111,SMALL(IF(ISNUMBER(SEARCH(IF(G4="",CHAR(1),G4),_Data!B2:B111)),ROW(_Data!B2:B111)-1),17)),"")</f>
        <v/>
      </c>
      <c r="E25" s="3" t="str">
        <f t="array" ref="E25">IFERROR(INDEX(_Data!E2:E111,SMALL(IF(ISNUMBER(SEARCH(IF(G4="",CHAR(1),G4),_Data!B2:B111)),ROW(_Data!B2:B111)-1),17)),"")</f>
        <v/>
      </c>
      <c r="F25" s="3" t="str">
        <f t="array" ref="F25">IFERROR(INDEX(_Data!F2:F111,SMALL(IF(ISNUMBER(SEARCH(IF(G4="",CHAR(1),G4),_Data!B2:B111)),ROW(_Data!B2:B111)-1),17)),"")</f>
        <v/>
      </c>
      <c r="G25" s="2" t="str">
        <f t="array" ref="G25">IFERROR(INDEX(_Data!G2:G111,SMALL(IF(ISNUMBER(SEARCH(IF(G4="",CHAR(1),G4),_Data!B2:B111)),ROW(_Data!B2:B111)-1),17)),"")</f>
        <v/>
      </c>
      <c r="H25" s="3" t="str">
        <f t="array" ref="H25">IFERROR(INDEX(_Data!H2:H111,SMALL(IF(ISNUMBER(SEARCH(IF(G4="",CHAR(1),G4),_Data!B2:B111)),ROW(_Data!B2:B111)-1),17)),"")</f>
        <v/>
      </c>
      <c r="I25" s="3" t="str">
        <f t="array" ref="I25">IFERROR(INDEX(_Data!I2:I111,SMALL(IF(ISNUMBER(SEARCH(IF(G4="",CHAR(1),G4),_Data!B2:B111)),ROW(_Data!B2:B111)-1),17)),"")</f>
        <v/>
      </c>
      <c r="J25" s="2" t="str">
        <f t="array" ref="J25">IFERROR(INDEX(_Data!J2:J111,SMALL(IF(ISNUMBER(SEARCH(IF(G4="",CHAR(1),G4),_Data!B2:B111)),ROW(_Data!B2:B111)-1),17)),"")</f>
        <v/>
      </c>
      <c r="K25" s="2" t="str">
        <f t="array" ref="K25">IFERROR(INDEX(_Data!K2:K111,SMALL(IF(ISNUMBER(SEARCH(IF(G4="",CHAR(1),G4),_Data!B2:B111)),ROW(_Data!B2:B111)-1),17)),"")</f>
        <v/>
      </c>
      <c r="L25" s="2" t="str">
        <f t="array" ref="L25">IFERROR(INDEX(_Data!L2:L111,SMALL(IF(ISNUMBER(SEARCH(IF(G4="",CHAR(1),G4),_Data!B2:B111)),ROW(_Data!B2:B111)-1),17)),"")</f>
        <v/>
      </c>
      <c r="M25" s="3" t="str">
        <f t="array" ref="M25">IFERROR(INDEX(_Data!M2:M111,SMALL(IF(ISNUMBER(SEARCH(IF(G4="",CHAR(1),G4),_Data!B2:B111)),ROW(_Data!B2:B111)-1),17)),"")</f>
        <v/>
      </c>
      <c r="N25" s="3" t="str">
        <f t="array" ref="N25">IFERROR(INDEX(_Data!N2:N111,SMALL(IF(ISNUMBER(SEARCH(IF(G4="",CHAR(1),G4),_Data!B2:B111)),ROW(_Data!B2:B111)-1),17)),"")</f>
        <v/>
      </c>
      <c r="O25" s="3" t="str">
        <f t="array" ref="O25">IFERROR(INDEX(_Data!O2:O111,SMALL(IF(ISNUMBER(SEARCH(IF(G4="",CHAR(1),G4),_Data!B2:B111)),ROW(_Data!B2:B111)-1),17)),"")</f>
        <v/>
      </c>
    </row>
    <row r="26" spans="1:15" ht="18" customHeight="1" x14ac:dyDescent="0.3">
      <c r="A26" s="4" t="str">
        <f t="array" ref="A26">IFERROR(INDEX(_Data!A2:A111,SMALL(IF(ISNUMBER(SEARCH(IF(G4="",CHAR(1),G4),_Data!B2:B111)),ROW(_Data!B2:B111)-1),18)),"")</f>
        <v/>
      </c>
      <c r="B26" s="5" t="str">
        <f t="array" ref="B26">IFERROR(INDEX(_Data!B2:B111,SMALL(IF(ISNUMBER(SEARCH(IF(G4="",CHAR(1),G4),_Data!B2:B111)),ROW(_Data!B2:B111)-1),18)),"")</f>
        <v/>
      </c>
      <c r="C26" s="4" t="str">
        <f t="array" ref="C26">IFERROR(INDEX(_Data!C2:C111,SMALL(IF(ISNUMBER(SEARCH(IF(G4="",CHAR(1),G4),_Data!B2:B111)),ROW(_Data!B2:B111)-1),18)),"")</f>
        <v/>
      </c>
      <c r="D26" s="4" t="str">
        <f t="array" ref="D26">IFERROR(INDEX(_Data!D2:D111,SMALL(IF(ISNUMBER(SEARCH(IF(G4="",CHAR(1),G4),_Data!B2:B111)),ROW(_Data!B2:B111)-1),18)),"")</f>
        <v/>
      </c>
      <c r="E26" s="5" t="str">
        <f t="array" ref="E26">IFERROR(INDEX(_Data!E2:E111,SMALL(IF(ISNUMBER(SEARCH(IF(G4="",CHAR(1),G4),_Data!B2:B111)),ROW(_Data!B2:B111)-1),18)),"")</f>
        <v/>
      </c>
      <c r="F26" s="5" t="str">
        <f t="array" ref="F26">IFERROR(INDEX(_Data!F2:F111,SMALL(IF(ISNUMBER(SEARCH(IF(G4="",CHAR(1),G4),_Data!B2:B111)),ROW(_Data!B2:B111)-1),18)),"")</f>
        <v/>
      </c>
      <c r="G26" s="4" t="str">
        <f t="array" ref="G26">IFERROR(INDEX(_Data!G2:G111,SMALL(IF(ISNUMBER(SEARCH(IF(G4="",CHAR(1),G4),_Data!B2:B111)),ROW(_Data!B2:B111)-1),18)),"")</f>
        <v/>
      </c>
      <c r="H26" s="5" t="str">
        <f t="array" ref="H26">IFERROR(INDEX(_Data!H2:H111,SMALL(IF(ISNUMBER(SEARCH(IF(G4="",CHAR(1),G4),_Data!B2:B111)),ROW(_Data!B2:B111)-1),18)),"")</f>
        <v/>
      </c>
      <c r="I26" s="5" t="str">
        <f t="array" ref="I26">IFERROR(INDEX(_Data!I2:I111,SMALL(IF(ISNUMBER(SEARCH(IF(G4="",CHAR(1),G4),_Data!B2:B111)),ROW(_Data!B2:B111)-1),18)),"")</f>
        <v/>
      </c>
      <c r="J26" s="4" t="str">
        <f t="array" ref="J26">IFERROR(INDEX(_Data!J2:J111,SMALL(IF(ISNUMBER(SEARCH(IF(G4="",CHAR(1),G4),_Data!B2:B111)),ROW(_Data!B2:B111)-1),18)),"")</f>
        <v/>
      </c>
      <c r="K26" s="4" t="str">
        <f t="array" ref="K26">IFERROR(INDEX(_Data!K2:K111,SMALL(IF(ISNUMBER(SEARCH(IF(G4="",CHAR(1),G4),_Data!B2:B111)),ROW(_Data!B2:B111)-1),18)),"")</f>
        <v/>
      </c>
      <c r="L26" s="4" t="str">
        <f t="array" ref="L26">IFERROR(INDEX(_Data!L2:L111,SMALL(IF(ISNUMBER(SEARCH(IF(G4="",CHAR(1),G4),_Data!B2:B111)),ROW(_Data!B2:B111)-1),18)),"")</f>
        <v/>
      </c>
      <c r="M26" s="5" t="str">
        <f t="array" ref="M26">IFERROR(INDEX(_Data!M2:M111,SMALL(IF(ISNUMBER(SEARCH(IF(G4="",CHAR(1),G4),_Data!B2:B111)),ROW(_Data!B2:B111)-1),18)),"")</f>
        <v/>
      </c>
      <c r="N26" s="5" t="str">
        <f t="array" ref="N26">IFERROR(INDEX(_Data!N2:N111,SMALL(IF(ISNUMBER(SEARCH(IF(G4="",CHAR(1),G4),_Data!B2:B111)),ROW(_Data!B2:B111)-1),18)),"")</f>
        <v/>
      </c>
      <c r="O26" s="5" t="str">
        <f t="array" ref="O26">IFERROR(INDEX(_Data!O2:O111,SMALL(IF(ISNUMBER(SEARCH(IF(G4="",CHAR(1),G4),_Data!B2:B111)),ROW(_Data!B2:B111)-1),18)),"")</f>
        <v/>
      </c>
    </row>
    <row r="27" spans="1:15" ht="18" customHeight="1" x14ac:dyDescent="0.3">
      <c r="A27" s="2" t="str">
        <f t="array" ref="A27">IFERROR(INDEX(_Data!A2:A111,SMALL(IF(ISNUMBER(SEARCH(IF(G4="",CHAR(1),G4),_Data!B2:B111)),ROW(_Data!B2:B111)-1),19)),"")</f>
        <v/>
      </c>
      <c r="B27" s="3" t="str">
        <f t="array" ref="B27">IFERROR(INDEX(_Data!B2:B111,SMALL(IF(ISNUMBER(SEARCH(IF(G4="",CHAR(1),G4),_Data!B2:B111)),ROW(_Data!B2:B111)-1),19)),"")</f>
        <v/>
      </c>
      <c r="C27" s="2" t="str">
        <f t="array" ref="C27">IFERROR(INDEX(_Data!C2:C111,SMALL(IF(ISNUMBER(SEARCH(IF(G4="",CHAR(1),G4),_Data!B2:B111)),ROW(_Data!B2:B111)-1),19)),"")</f>
        <v/>
      </c>
      <c r="D27" s="2" t="str">
        <f t="array" ref="D27">IFERROR(INDEX(_Data!D2:D111,SMALL(IF(ISNUMBER(SEARCH(IF(G4="",CHAR(1),G4),_Data!B2:B111)),ROW(_Data!B2:B111)-1),19)),"")</f>
        <v/>
      </c>
      <c r="E27" s="3" t="str">
        <f t="array" ref="E27">IFERROR(INDEX(_Data!E2:E111,SMALL(IF(ISNUMBER(SEARCH(IF(G4="",CHAR(1),G4),_Data!B2:B111)),ROW(_Data!B2:B111)-1),19)),"")</f>
        <v/>
      </c>
      <c r="F27" s="3" t="str">
        <f t="array" ref="F27">IFERROR(INDEX(_Data!F2:F111,SMALL(IF(ISNUMBER(SEARCH(IF(G4="",CHAR(1),G4),_Data!B2:B111)),ROW(_Data!B2:B111)-1),19)),"")</f>
        <v/>
      </c>
      <c r="G27" s="2" t="str">
        <f t="array" ref="G27">IFERROR(INDEX(_Data!G2:G111,SMALL(IF(ISNUMBER(SEARCH(IF(G4="",CHAR(1),G4),_Data!B2:B111)),ROW(_Data!B2:B111)-1),19)),"")</f>
        <v/>
      </c>
      <c r="H27" s="3" t="str">
        <f t="array" ref="H27">IFERROR(INDEX(_Data!H2:H111,SMALL(IF(ISNUMBER(SEARCH(IF(G4="",CHAR(1),G4),_Data!B2:B111)),ROW(_Data!B2:B111)-1),19)),"")</f>
        <v/>
      </c>
      <c r="I27" s="3" t="str">
        <f t="array" ref="I27">IFERROR(INDEX(_Data!I2:I111,SMALL(IF(ISNUMBER(SEARCH(IF(G4="",CHAR(1),G4),_Data!B2:B111)),ROW(_Data!B2:B111)-1),19)),"")</f>
        <v/>
      </c>
      <c r="J27" s="2" t="str">
        <f t="array" ref="J27">IFERROR(INDEX(_Data!J2:J111,SMALL(IF(ISNUMBER(SEARCH(IF(G4="",CHAR(1),G4),_Data!B2:B111)),ROW(_Data!B2:B111)-1),19)),"")</f>
        <v/>
      </c>
      <c r="K27" s="2" t="str">
        <f t="array" ref="K27">IFERROR(INDEX(_Data!K2:K111,SMALL(IF(ISNUMBER(SEARCH(IF(G4="",CHAR(1),G4),_Data!B2:B111)),ROW(_Data!B2:B111)-1),19)),"")</f>
        <v/>
      </c>
      <c r="L27" s="2" t="str">
        <f t="array" ref="L27">IFERROR(INDEX(_Data!L2:L111,SMALL(IF(ISNUMBER(SEARCH(IF(G4="",CHAR(1),G4),_Data!B2:B111)),ROW(_Data!B2:B111)-1),19)),"")</f>
        <v/>
      </c>
      <c r="M27" s="3" t="str">
        <f t="array" ref="M27">IFERROR(INDEX(_Data!M2:M111,SMALL(IF(ISNUMBER(SEARCH(IF(G4="",CHAR(1),G4),_Data!B2:B111)),ROW(_Data!B2:B111)-1),19)),"")</f>
        <v/>
      </c>
      <c r="N27" s="3" t="str">
        <f t="array" ref="N27">IFERROR(INDEX(_Data!N2:N111,SMALL(IF(ISNUMBER(SEARCH(IF(G4="",CHAR(1),G4),_Data!B2:B111)),ROW(_Data!B2:B111)-1),19)),"")</f>
        <v/>
      </c>
      <c r="O27" s="3" t="str">
        <f t="array" ref="O27">IFERROR(INDEX(_Data!O2:O111,SMALL(IF(ISNUMBER(SEARCH(IF(G4="",CHAR(1),G4),_Data!B2:B111)),ROW(_Data!B2:B111)-1),19)),"")</f>
        <v/>
      </c>
    </row>
    <row r="28" spans="1:15" ht="18" customHeight="1" x14ac:dyDescent="0.3">
      <c r="A28" s="4" t="str">
        <f t="array" ref="A28">IFERROR(INDEX(_Data!A2:A111,SMALL(IF(ISNUMBER(SEARCH(IF(G4="",CHAR(1),G4),_Data!B2:B111)),ROW(_Data!B2:B111)-1),20)),"")</f>
        <v/>
      </c>
      <c r="B28" s="5" t="str">
        <f t="array" ref="B28">IFERROR(INDEX(_Data!B2:B111,SMALL(IF(ISNUMBER(SEARCH(IF(G4="",CHAR(1),G4),_Data!B2:B111)),ROW(_Data!B2:B111)-1),20)),"")</f>
        <v/>
      </c>
      <c r="C28" s="4" t="str">
        <f t="array" ref="C28">IFERROR(INDEX(_Data!C2:C111,SMALL(IF(ISNUMBER(SEARCH(IF(G4="",CHAR(1),G4),_Data!B2:B111)),ROW(_Data!B2:B111)-1),20)),"")</f>
        <v/>
      </c>
      <c r="D28" s="4" t="str">
        <f t="array" ref="D28">IFERROR(INDEX(_Data!D2:D111,SMALL(IF(ISNUMBER(SEARCH(IF(G4="",CHAR(1),G4),_Data!B2:B111)),ROW(_Data!B2:B111)-1),20)),"")</f>
        <v/>
      </c>
      <c r="E28" s="5" t="str">
        <f t="array" ref="E28">IFERROR(INDEX(_Data!E2:E111,SMALL(IF(ISNUMBER(SEARCH(IF(G4="",CHAR(1),G4),_Data!B2:B111)),ROW(_Data!B2:B111)-1),20)),"")</f>
        <v/>
      </c>
      <c r="F28" s="5" t="str">
        <f t="array" ref="F28">IFERROR(INDEX(_Data!F2:F111,SMALL(IF(ISNUMBER(SEARCH(IF(G4="",CHAR(1),G4),_Data!B2:B111)),ROW(_Data!B2:B111)-1),20)),"")</f>
        <v/>
      </c>
      <c r="G28" s="4" t="str">
        <f t="array" ref="G28">IFERROR(INDEX(_Data!G2:G111,SMALL(IF(ISNUMBER(SEARCH(IF(G4="",CHAR(1),G4),_Data!B2:B111)),ROW(_Data!B2:B111)-1),20)),"")</f>
        <v/>
      </c>
      <c r="H28" s="5" t="str">
        <f t="array" ref="H28">IFERROR(INDEX(_Data!H2:H111,SMALL(IF(ISNUMBER(SEARCH(IF(G4="",CHAR(1),G4),_Data!B2:B111)),ROW(_Data!B2:B111)-1),20)),"")</f>
        <v/>
      </c>
      <c r="I28" s="5" t="str">
        <f t="array" ref="I28">IFERROR(INDEX(_Data!I2:I111,SMALL(IF(ISNUMBER(SEARCH(IF(G4="",CHAR(1),G4),_Data!B2:B111)),ROW(_Data!B2:B111)-1),20)),"")</f>
        <v/>
      </c>
      <c r="J28" s="4" t="str">
        <f t="array" ref="J28">IFERROR(INDEX(_Data!J2:J111,SMALL(IF(ISNUMBER(SEARCH(IF(G4="",CHAR(1),G4),_Data!B2:B111)),ROW(_Data!B2:B111)-1),20)),"")</f>
        <v/>
      </c>
      <c r="K28" s="4" t="str">
        <f t="array" ref="K28">IFERROR(INDEX(_Data!K2:K111,SMALL(IF(ISNUMBER(SEARCH(IF(G4="",CHAR(1),G4),_Data!B2:B111)),ROW(_Data!B2:B111)-1),20)),"")</f>
        <v/>
      </c>
      <c r="L28" s="4" t="str">
        <f t="array" ref="L28">IFERROR(INDEX(_Data!L2:L111,SMALL(IF(ISNUMBER(SEARCH(IF(G4="",CHAR(1),G4),_Data!B2:B111)),ROW(_Data!B2:B111)-1),20)),"")</f>
        <v/>
      </c>
      <c r="M28" s="5" t="str">
        <f t="array" ref="M28">IFERROR(INDEX(_Data!M2:M111,SMALL(IF(ISNUMBER(SEARCH(IF(G4="",CHAR(1),G4),_Data!B2:B111)),ROW(_Data!B2:B111)-1),20)),"")</f>
        <v/>
      </c>
      <c r="N28" s="5" t="str">
        <f t="array" ref="N28">IFERROR(INDEX(_Data!N2:N111,SMALL(IF(ISNUMBER(SEARCH(IF(G4="",CHAR(1),G4),_Data!B2:B111)),ROW(_Data!B2:B111)-1),20)),"")</f>
        <v/>
      </c>
      <c r="O28" s="5" t="str">
        <f t="array" ref="O28">IFERROR(INDEX(_Data!O2:O111,SMALL(IF(ISNUMBER(SEARCH(IF(G4="",CHAR(1),G4),_Data!B2:B111)),ROW(_Data!B2:B111)-1),20)),"")</f>
        <v/>
      </c>
    </row>
    <row r="29" spans="1:15" ht="10.050000000000001" customHeight="1" x14ac:dyDescent="0.3"/>
    <row r="30" spans="1:15" ht="24" customHeight="1" x14ac:dyDescent="0.3">
      <c r="A30" s="11" t="s">
        <v>19</v>
      </c>
      <c r="B30" s="12"/>
      <c r="C30" s="12"/>
      <c r="D30" s="12"/>
      <c r="E30" s="12"/>
      <c r="F30" s="12"/>
      <c r="G30" s="12"/>
    </row>
    <row r="31" spans="1:15" ht="28.05" customHeight="1" x14ac:dyDescent="0.3">
      <c r="A31" s="1" t="s">
        <v>20</v>
      </c>
      <c r="B31" s="1" t="s">
        <v>21</v>
      </c>
      <c r="C31" s="1" t="s">
        <v>22</v>
      </c>
      <c r="D31" s="1" t="s">
        <v>23</v>
      </c>
      <c r="E31" s="1" t="s">
        <v>24</v>
      </c>
      <c r="F31" s="1" t="s">
        <v>25</v>
      </c>
      <c r="G31" s="1" t="s">
        <v>8</v>
      </c>
    </row>
    <row r="32" spans="1:15" ht="18" customHeight="1" x14ac:dyDescent="0.3">
      <c r="A32" s="3" t="str">
        <f t="array" ref="A32">IFERROR(INDEX(_Data!Q2:Q60,SMALL(IF(ISNUMBER(SEARCH(IF(G4="",CHAR(1),G4),_Data!Q2:Q60)),ROW(_Data!Q2:Q60)-1),1)),"")</f>
        <v>Pia Escobar</v>
      </c>
      <c r="B32" s="2" t="str">
        <f t="array" ref="B32">IFERROR(INDEX(_Data!R2:R60,SMALL(IF(ISNUMBER(SEARCH(IF(G4="",CHAR(1),G4),_Data!Q2:Q60)),ROW(_Data!Q2:Q60)-1),1)),"")</f>
        <v>56950406230</v>
      </c>
      <c r="C32" s="2" t="str">
        <f t="array" ref="C32">IFERROR(INDEX(_Data!S2:S60,SMALL(IF(ISNUMBER(SEARCH(IF(G4="",CHAR(1),G4),_Data!Q2:Q60)),ROW(_Data!Q2:Q60)-1),1)),"")</f>
        <v>Claro</v>
      </c>
      <c r="D32" s="3" t="str">
        <f t="array" ref="D32">IFERROR(INDEX(_Data!T2:T60,SMALL(IF(ISNUMBER(SEARCH(IF(G4="",CHAR(1),G4),_Data!Q2:Q60)),ROW(_Data!Q2:Q60)-1),1)),"")</f>
        <v>Galaxy A22</v>
      </c>
      <c r="E32" s="2" t="str">
        <f t="array" ref="E32">IFERROR(INDEX(_Data!U2:U60,SMALL(IF(ISNUMBER(SEARCH(IF(G4="",CHAR(1),G4),_Data!Q2:Q60)),ROW(_Data!Q2:Q60)-1),1)),"")</f>
        <v>353325955465822</v>
      </c>
      <c r="F32" s="3" t="str">
        <f t="array" ref="F32">IFERROR(INDEX(_Data!V2:V60,SMALL(IF(ISNUMBER(SEARCH(IF(G4="",CHAR(1),G4),_Data!Q2:Q60)),ROW(_Data!Q2:Q60)-1),1)),"")</f>
        <v>Marcelo</v>
      </c>
      <c r="G32" s="3" t="str">
        <f t="array" ref="G32">IFERROR(INDEX(_Data!W2:W60,SMALL(IF(ISNUMBER(SEARCH(IF(G4="",CHAR(1),G4),_Data!Q2:Q60)),ROW(_Data!Q2:Q60)-1),1)),"")</f>
        <v>Calidad</v>
      </c>
    </row>
    <row r="33" spans="1:7" ht="18" customHeight="1" x14ac:dyDescent="0.3">
      <c r="A33" s="5" t="str">
        <f t="array" ref="A33">IFERROR(INDEX(_Data!Q2:Q60,SMALL(IF(ISNUMBER(SEARCH(IF(G4="",CHAR(1),G4),_Data!Q2:Q60)),ROW(_Data!Q2:Q60)-1),2)),"")</f>
        <v/>
      </c>
      <c r="B33" s="4" t="str">
        <f t="array" ref="B33">IFERROR(INDEX(_Data!R2:R60,SMALL(IF(ISNUMBER(SEARCH(IF(G4="",CHAR(1),G4),_Data!Q2:Q60)),ROW(_Data!Q2:Q60)-1),2)),"")</f>
        <v/>
      </c>
      <c r="C33" s="4" t="str">
        <f t="array" ref="C33">IFERROR(INDEX(_Data!S2:S60,SMALL(IF(ISNUMBER(SEARCH(IF(G4="",CHAR(1),G4),_Data!Q2:Q60)),ROW(_Data!Q2:Q60)-1),2)),"")</f>
        <v/>
      </c>
      <c r="D33" s="5" t="str">
        <f t="array" ref="D33">IFERROR(INDEX(_Data!T2:T60,SMALL(IF(ISNUMBER(SEARCH(IF(G4="",CHAR(1),G4),_Data!Q2:Q60)),ROW(_Data!Q2:Q60)-1),2)),"")</f>
        <v/>
      </c>
      <c r="E33" s="4" t="str">
        <f t="array" ref="E33">IFERROR(INDEX(_Data!U2:U60,SMALL(IF(ISNUMBER(SEARCH(IF(G4="",CHAR(1),G4),_Data!Q2:Q60)),ROW(_Data!Q2:Q60)-1),2)),"")</f>
        <v/>
      </c>
      <c r="F33" s="5" t="str">
        <f t="array" ref="F33">IFERROR(INDEX(_Data!V2:V60,SMALL(IF(ISNUMBER(SEARCH(IF(G4="",CHAR(1),G4),_Data!Q2:Q60)),ROW(_Data!Q2:Q60)-1),2)),"")</f>
        <v/>
      </c>
      <c r="G33" s="5" t="str">
        <f t="array" ref="G33">IFERROR(INDEX(_Data!W2:W60,SMALL(IF(ISNUMBER(SEARCH(IF(G4="",CHAR(1),G4),_Data!Q2:Q60)),ROW(_Data!Q2:Q60)-1),2)),"")</f>
        <v/>
      </c>
    </row>
    <row r="34" spans="1:7" ht="18" customHeight="1" x14ac:dyDescent="0.3">
      <c r="A34" s="3" t="str">
        <f t="array" ref="A34">IFERROR(INDEX(_Data!Q2:Q60,SMALL(IF(ISNUMBER(SEARCH(IF(G4="",CHAR(1),G4),_Data!Q2:Q60)),ROW(_Data!Q2:Q60)-1),3)),"")</f>
        <v/>
      </c>
      <c r="B34" s="2" t="str">
        <f t="array" ref="B34">IFERROR(INDEX(_Data!R2:R60,SMALL(IF(ISNUMBER(SEARCH(IF(G4="",CHAR(1),G4),_Data!Q2:Q60)),ROW(_Data!Q2:Q60)-1),3)),"")</f>
        <v/>
      </c>
      <c r="C34" s="2" t="str">
        <f t="array" ref="C34">IFERROR(INDEX(_Data!S2:S60,SMALL(IF(ISNUMBER(SEARCH(IF(G4="",CHAR(1),G4),_Data!Q2:Q60)),ROW(_Data!Q2:Q60)-1),3)),"")</f>
        <v/>
      </c>
      <c r="D34" s="3" t="str">
        <f t="array" ref="D34">IFERROR(INDEX(_Data!T2:T60,SMALL(IF(ISNUMBER(SEARCH(IF(G4="",CHAR(1),G4),_Data!Q2:Q60)),ROW(_Data!Q2:Q60)-1),3)),"")</f>
        <v/>
      </c>
      <c r="E34" s="2" t="str">
        <f t="array" ref="E34">IFERROR(INDEX(_Data!U2:U60,SMALL(IF(ISNUMBER(SEARCH(IF(G4="",CHAR(1),G4),_Data!Q2:Q60)),ROW(_Data!Q2:Q60)-1),3)),"")</f>
        <v/>
      </c>
      <c r="F34" s="3" t="str">
        <f t="array" ref="F34">IFERROR(INDEX(_Data!V2:V60,SMALL(IF(ISNUMBER(SEARCH(IF(G4="",CHAR(1),G4),_Data!Q2:Q60)),ROW(_Data!Q2:Q60)-1),3)),"")</f>
        <v/>
      </c>
      <c r="G34" s="3" t="str">
        <f t="array" ref="G34">IFERROR(INDEX(_Data!W2:W60,SMALL(IF(ISNUMBER(SEARCH(IF(G4="",CHAR(1),G4),_Data!Q2:Q60)),ROW(_Data!Q2:Q60)-1),3)),"")</f>
        <v/>
      </c>
    </row>
    <row r="35" spans="1:7" ht="18" customHeight="1" x14ac:dyDescent="0.3">
      <c r="A35" s="5" t="str">
        <f t="array" ref="A35">IFERROR(INDEX(_Data!Q2:Q60,SMALL(IF(ISNUMBER(SEARCH(IF(G4="",CHAR(1),G4),_Data!Q2:Q60)),ROW(_Data!Q2:Q60)-1),4)),"")</f>
        <v/>
      </c>
      <c r="B35" s="4" t="str">
        <f t="array" ref="B35">IFERROR(INDEX(_Data!R2:R60,SMALL(IF(ISNUMBER(SEARCH(IF(G4="",CHAR(1),G4),_Data!Q2:Q60)),ROW(_Data!Q2:Q60)-1),4)),"")</f>
        <v/>
      </c>
      <c r="C35" s="4" t="str">
        <f t="array" ref="C35">IFERROR(INDEX(_Data!S2:S60,SMALL(IF(ISNUMBER(SEARCH(IF(G4="",CHAR(1),G4),_Data!Q2:Q60)),ROW(_Data!Q2:Q60)-1),4)),"")</f>
        <v/>
      </c>
      <c r="D35" s="5" t="str">
        <f t="array" ref="D35">IFERROR(INDEX(_Data!T2:T60,SMALL(IF(ISNUMBER(SEARCH(IF(G4="",CHAR(1),G4),_Data!Q2:Q60)),ROW(_Data!Q2:Q60)-1),4)),"")</f>
        <v/>
      </c>
      <c r="E35" s="4" t="str">
        <f t="array" ref="E35">IFERROR(INDEX(_Data!U2:U60,SMALL(IF(ISNUMBER(SEARCH(IF(G4="",CHAR(1),G4),_Data!Q2:Q60)),ROW(_Data!Q2:Q60)-1),4)),"")</f>
        <v/>
      </c>
      <c r="F35" s="5" t="str">
        <f t="array" ref="F35">IFERROR(INDEX(_Data!V2:V60,SMALL(IF(ISNUMBER(SEARCH(IF(G4="",CHAR(1),G4),_Data!Q2:Q60)),ROW(_Data!Q2:Q60)-1),4)),"")</f>
        <v/>
      </c>
      <c r="G35" s="5" t="str">
        <f t="array" ref="G35">IFERROR(INDEX(_Data!W2:W60,SMALL(IF(ISNUMBER(SEARCH(IF(G4="",CHAR(1),G4),_Data!Q2:Q60)),ROW(_Data!Q2:Q60)-1),4)),"")</f>
        <v/>
      </c>
    </row>
    <row r="36" spans="1:7" ht="18" customHeight="1" x14ac:dyDescent="0.3">
      <c r="A36" s="3" t="str">
        <f t="array" ref="A36">IFERROR(INDEX(_Data!Q2:Q60,SMALL(IF(ISNUMBER(SEARCH(IF(G4="",CHAR(1),G4),_Data!Q2:Q60)),ROW(_Data!Q2:Q60)-1),5)),"")</f>
        <v/>
      </c>
      <c r="B36" s="2" t="str">
        <f t="array" ref="B36">IFERROR(INDEX(_Data!R2:R60,SMALL(IF(ISNUMBER(SEARCH(IF(G4="",CHAR(1),G4),_Data!Q2:Q60)),ROW(_Data!Q2:Q60)-1),5)),"")</f>
        <v/>
      </c>
      <c r="C36" s="2" t="str">
        <f t="array" ref="C36">IFERROR(INDEX(_Data!S2:S60,SMALL(IF(ISNUMBER(SEARCH(IF(G4="",CHAR(1),G4),_Data!Q2:Q60)),ROW(_Data!Q2:Q60)-1),5)),"")</f>
        <v/>
      </c>
      <c r="D36" s="3" t="str">
        <f t="array" ref="D36">IFERROR(INDEX(_Data!T2:T60,SMALL(IF(ISNUMBER(SEARCH(IF(G4="",CHAR(1),G4),_Data!Q2:Q60)),ROW(_Data!Q2:Q60)-1),5)),"")</f>
        <v/>
      </c>
      <c r="E36" s="2" t="str">
        <f t="array" ref="E36">IFERROR(INDEX(_Data!U2:U60,SMALL(IF(ISNUMBER(SEARCH(IF(G4="",CHAR(1),G4),_Data!Q2:Q60)),ROW(_Data!Q2:Q60)-1),5)),"")</f>
        <v/>
      </c>
      <c r="F36" s="3" t="str">
        <f t="array" ref="F36">IFERROR(INDEX(_Data!V2:V60,SMALL(IF(ISNUMBER(SEARCH(IF(G4="",CHAR(1),G4),_Data!Q2:Q60)),ROW(_Data!Q2:Q60)-1),5)),"")</f>
        <v/>
      </c>
      <c r="G36" s="3" t="str">
        <f t="array" ref="G36">IFERROR(INDEX(_Data!W2:W60,SMALL(IF(ISNUMBER(SEARCH(IF(G4="",CHAR(1),G4),_Data!Q2:Q60)),ROW(_Data!Q2:Q60)-1),5)),"")</f>
        <v/>
      </c>
    </row>
    <row r="37" spans="1:7" ht="18" customHeight="1" x14ac:dyDescent="0.3">
      <c r="A37" s="5" t="str">
        <f t="array" ref="A37">IFERROR(INDEX(_Data!Q2:Q60,SMALL(IF(ISNUMBER(SEARCH(IF(G4="",CHAR(1),G4),_Data!Q2:Q60)),ROW(_Data!Q2:Q60)-1),6)),"")</f>
        <v/>
      </c>
      <c r="B37" s="4" t="str">
        <f t="array" ref="B37">IFERROR(INDEX(_Data!R2:R60,SMALL(IF(ISNUMBER(SEARCH(IF(G4="",CHAR(1),G4),_Data!Q2:Q60)),ROW(_Data!Q2:Q60)-1),6)),"")</f>
        <v/>
      </c>
      <c r="C37" s="4" t="str">
        <f t="array" ref="C37">IFERROR(INDEX(_Data!S2:S60,SMALL(IF(ISNUMBER(SEARCH(IF(G4="",CHAR(1),G4),_Data!Q2:Q60)),ROW(_Data!Q2:Q60)-1),6)),"")</f>
        <v/>
      </c>
      <c r="D37" s="5" t="str">
        <f t="array" ref="D37">IFERROR(INDEX(_Data!T2:T60,SMALL(IF(ISNUMBER(SEARCH(IF(G4="",CHAR(1),G4),_Data!Q2:Q60)),ROW(_Data!Q2:Q60)-1),6)),"")</f>
        <v/>
      </c>
      <c r="E37" s="4" t="str">
        <f t="array" ref="E37">IFERROR(INDEX(_Data!U2:U60,SMALL(IF(ISNUMBER(SEARCH(IF(G4="",CHAR(1),G4),_Data!Q2:Q60)),ROW(_Data!Q2:Q60)-1),6)),"")</f>
        <v/>
      </c>
      <c r="F37" s="5" t="str">
        <f t="array" ref="F37">IFERROR(INDEX(_Data!V2:V60,SMALL(IF(ISNUMBER(SEARCH(IF(G4="",CHAR(1),G4),_Data!Q2:Q60)),ROW(_Data!Q2:Q60)-1),6)),"")</f>
        <v/>
      </c>
      <c r="G37" s="5" t="str">
        <f t="array" ref="G37">IFERROR(INDEX(_Data!W2:W60,SMALL(IF(ISNUMBER(SEARCH(IF(G4="",CHAR(1),G4),_Data!Q2:Q60)),ROW(_Data!Q2:Q60)-1),6)),"")</f>
        <v/>
      </c>
    </row>
    <row r="38" spans="1:7" ht="18" customHeight="1" x14ac:dyDescent="0.3">
      <c r="A38" s="3" t="str">
        <f t="array" ref="A38">IFERROR(INDEX(_Data!Q2:Q60,SMALL(IF(ISNUMBER(SEARCH(IF(G4="",CHAR(1),G4),_Data!Q2:Q60)),ROW(_Data!Q2:Q60)-1),7)),"")</f>
        <v/>
      </c>
      <c r="B38" s="2" t="str">
        <f t="array" ref="B38">IFERROR(INDEX(_Data!R2:R60,SMALL(IF(ISNUMBER(SEARCH(IF(G4="",CHAR(1),G4),_Data!Q2:Q60)),ROW(_Data!Q2:Q60)-1),7)),"")</f>
        <v/>
      </c>
      <c r="C38" s="2" t="str">
        <f t="array" ref="C38">IFERROR(INDEX(_Data!S2:S60,SMALL(IF(ISNUMBER(SEARCH(IF(G4="",CHAR(1),G4),_Data!Q2:Q60)),ROW(_Data!Q2:Q60)-1),7)),"")</f>
        <v/>
      </c>
      <c r="D38" s="3" t="str">
        <f t="array" ref="D38">IFERROR(INDEX(_Data!T2:T60,SMALL(IF(ISNUMBER(SEARCH(IF(G4="",CHAR(1),G4),_Data!Q2:Q60)),ROW(_Data!Q2:Q60)-1),7)),"")</f>
        <v/>
      </c>
      <c r="E38" s="2" t="str">
        <f t="array" ref="E38">IFERROR(INDEX(_Data!U2:U60,SMALL(IF(ISNUMBER(SEARCH(IF(G4="",CHAR(1),G4),_Data!Q2:Q60)),ROW(_Data!Q2:Q60)-1),7)),"")</f>
        <v/>
      </c>
      <c r="F38" s="3" t="str">
        <f t="array" ref="F38">IFERROR(INDEX(_Data!V2:V60,SMALL(IF(ISNUMBER(SEARCH(IF(G4="",CHAR(1),G4),_Data!Q2:Q60)),ROW(_Data!Q2:Q60)-1),7)),"")</f>
        <v/>
      </c>
      <c r="G38" s="3" t="str">
        <f t="array" ref="G38">IFERROR(INDEX(_Data!W2:W60,SMALL(IF(ISNUMBER(SEARCH(IF(G4="",CHAR(1),G4),_Data!Q2:Q60)),ROW(_Data!Q2:Q60)-1),7)),"")</f>
        <v/>
      </c>
    </row>
    <row r="39" spans="1:7" ht="18" customHeight="1" x14ac:dyDescent="0.3">
      <c r="A39" s="5" t="str">
        <f t="array" ref="A39">IFERROR(INDEX(_Data!Q2:Q60,SMALL(IF(ISNUMBER(SEARCH(IF(G4="",CHAR(1),G4),_Data!Q2:Q60)),ROW(_Data!Q2:Q60)-1),8)),"")</f>
        <v/>
      </c>
      <c r="B39" s="4" t="str">
        <f t="array" ref="B39">IFERROR(INDEX(_Data!R2:R60,SMALL(IF(ISNUMBER(SEARCH(IF(G4="",CHAR(1),G4),_Data!Q2:Q60)),ROW(_Data!Q2:Q60)-1),8)),"")</f>
        <v/>
      </c>
      <c r="C39" s="4" t="str">
        <f t="array" ref="C39">IFERROR(INDEX(_Data!S2:S60,SMALL(IF(ISNUMBER(SEARCH(IF(G4="",CHAR(1),G4),_Data!Q2:Q60)),ROW(_Data!Q2:Q60)-1),8)),"")</f>
        <v/>
      </c>
      <c r="D39" s="5" t="str">
        <f t="array" ref="D39">IFERROR(INDEX(_Data!T2:T60,SMALL(IF(ISNUMBER(SEARCH(IF(G4="",CHAR(1),G4),_Data!Q2:Q60)),ROW(_Data!Q2:Q60)-1),8)),"")</f>
        <v/>
      </c>
      <c r="E39" s="4" t="str">
        <f t="array" ref="E39">IFERROR(INDEX(_Data!U2:U60,SMALL(IF(ISNUMBER(SEARCH(IF(G4="",CHAR(1),G4),_Data!Q2:Q60)),ROW(_Data!Q2:Q60)-1),8)),"")</f>
        <v/>
      </c>
      <c r="F39" s="5" t="str">
        <f t="array" ref="F39">IFERROR(INDEX(_Data!V2:V60,SMALL(IF(ISNUMBER(SEARCH(IF(G4="",CHAR(1),G4),_Data!Q2:Q60)),ROW(_Data!Q2:Q60)-1),8)),"")</f>
        <v/>
      </c>
      <c r="G39" s="5" t="str">
        <f t="array" ref="G39">IFERROR(INDEX(_Data!W2:W60,SMALL(IF(ISNUMBER(SEARCH(IF(G4="",CHAR(1),G4),_Data!Q2:Q60)),ROW(_Data!Q2:Q60)-1),8)),"")</f>
        <v/>
      </c>
    </row>
    <row r="40" spans="1:7" ht="18" customHeight="1" x14ac:dyDescent="0.3">
      <c r="A40" s="3" t="str">
        <f t="array" ref="A40">IFERROR(INDEX(_Data!Q2:Q60,SMALL(IF(ISNUMBER(SEARCH(IF(G4="",CHAR(1),G4),_Data!Q2:Q60)),ROW(_Data!Q2:Q60)-1),9)),"")</f>
        <v/>
      </c>
      <c r="B40" s="2" t="str">
        <f t="array" ref="B40">IFERROR(INDEX(_Data!R2:R60,SMALL(IF(ISNUMBER(SEARCH(IF(G4="",CHAR(1),G4),_Data!Q2:Q60)),ROW(_Data!Q2:Q60)-1),9)),"")</f>
        <v/>
      </c>
      <c r="C40" s="2" t="str">
        <f t="array" ref="C40">IFERROR(INDEX(_Data!S2:S60,SMALL(IF(ISNUMBER(SEARCH(IF(G4="",CHAR(1),G4),_Data!Q2:Q60)),ROW(_Data!Q2:Q60)-1),9)),"")</f>
        <v/>
      </c>
      <c r="D40" s="3" t="str">
        <f t="array" ref="D40">IFERROR(INDEX(_Data!T2:T60,SMALL(IF(ISNUMBER(SEARCH(IF(G4="",CHAR(1),G4),_Data!Q2:Q60)),ROW(_Data!Q2:Q60)-1),9)),"")</f>
        <v/>
      </c>
      <c r="E40" s="2" t="str">
        <f t="array" ref="E40">IFERROR(INDEX(_Data!U2:U60,SMALL(IF(ISNUMBER(SEARCH(IF(G4="",CHAR(1),G4),_Data!Q2:Q60)),ROW(_Data!Q2:Q60)-1),9)),"")</f>
        <v/>
      </c>
      <c r="F40" s="3" t="str">
        <f t="array" ref="F40">IFERROR(INDEX(_Data!V2:V60,SMALL(IF(ISNUMBER(SEARCH(IF(G4="",CHAR(1),G4),_Data!Q2:Q60)),ROW(_Data!Q2:Q60)-1),9)),"")</f>
        <v/>
      </c>
      <c r="G40" s="3" t="str">
        <f t="array" ref="G40">IFERROR(INDEX(_Data!W2:W60,SMALL(IF(ISNUMBER(SEARCH(IF(G4="",CHAR(1),G4),_Data!Q2:Q60)),ROW(_Data!Q2:Q60)-1),9)),"")</f>
        <v/>
      </c>
    </row>
    <row r="41" spans="1:7" ht="18" customHeight="1" x14ac:dyDescent="0.3">
      <c r="A41" s="5" t="str">
        <f t="array" ref="A41">IFERROR(INDEX(_Data!Q2:Q60,SMALL(IF(ISNUMBER(SEARCH(IF(G4="",CHAR(1),G4),_Data!Q2:Q60)),ROW(_Data!Q2:Q60)-1),10)),"")</f>
        <v/>
      </c>
      <c r="B41" s="4" t="str">
        <f t="array" ref="B41">IFERROR(INDEX(_Data!R2:R60,SMALL(IF(ISNUMBER(SEARCH(IF(G4="",CHAR(1),G4),_Data!Q2:Q60)),ROW(_Data!Q2:Q60)-1),10)),"")</f>
        <v/>
      </c>
      <c r="C41" s="4" t="str">
        <f t="array" ref="C41">IFERROR(INDEX(_Data!S2:S60,SMALL(IF(ISNUMBER(SEARCH(IF(G4="",CHAR(1),G4),_Data!Q2:Q60)),ROW(_Data!Q2:Q60)-1),10)),"")</f>
        <v/>
      </c>
      <c r="D41" s="5" t="str">
        <f t="array" ref="D41">IFERROR(INDEX(_Data!T2:T60,SMALL(IF(ISNUMBER(SEARCH(IF(G4="",CHAR(1),G4),_Data!Q2:Q60)),ROW(_Data!Q2:Q60)-1),10)),"")</f>
        <v/>
      </c>
      <c r="E41" s="4" t="str">
        <f t="array" ref="E41">IFERROR(INDEX(_Data!U2:U60,SMALL(IF(ISNUMBER(SEARCH(IF(G4="",CHAR(1),G4),_Data!Q2:Q60)),ROW(_Data!Q2:Q60)-1),10)),"")</f>
        <v/>
      </c>
      <c r="F41" s="5" t="str">
        <f t="array" ref="F41">IFERROR(INDEX(_Data!V2:V60,SMALL(IF(ISNUMBER(SEARCH(IF(G4="",CHAR(1),G4),_Data!Q2:Q60)),ROW(_Data!Q2:Q60)-1),10)),"")</f>
        <v/>
      </c>
      <c r="G41" s="5" t="str">
        <f t="array" ref="G41">IFERROR(INDEX(_Data!W2:W60,SMALL(IF(ISNUMBER(SEARCH(IF(G4="",CHAR(1),G4),_Data!Q2:Q60)),ROW(_Data!Q2:Q60)-1),10)),"")</f>
        <v/>
      </c>
    </row>
    <row r="42" spans="1:7" ht="18" customHeight="1" x14ac:dyDescent="0.3">
      <c r="A42" s="3" t="str">
        <f t="array" ref="A42">IFERROR(INDEX(_Data!Q2:Q60,SMALL(IF(ISNUMBER(SEARCH(IF(G4="",CHAR(1),G4),_Data!Q2:Q60)),ROW(_Data!Q2:Q60)-1),11)),"")</f>
        <v/>
      </c>
      <c r="B42" s="2" t="str">
        <f t="array" ref="B42">IFERROR(INDEX(_Data!R2:R60,SMALL(IF(ISNUMBER(SEARCH(IF(G4="",CHAR(1),G4),_Data!Q2:Q60)),ROW(_Data!Q2:Q60)-1),11)),"")</f>
        <v/>
      </c>
      <c r="C42" s="2" t="str">
        <f t="array" ref="C42">IFERROR(INDEX(_Data!S2:S60,SMALL(IF(ISNUMBER(SEARCH(IF(G4="",CHAR(1),G4),_Data!Q2:Q60)),ROW(_Data!Q2:Q60)-1),11)),"")</f>
        <v/>
      </c>
      <c r="D42" s="3" t="str">
        <f t="array" ref="D42">IFERROR(INDEX(_Data!T2:T60,SMALL(IF(ISNUMBER(SEARCH(IF(G4="",CHAR(1),G4),_Data!Q2:Q60)),ROW(_Data!Q2:Q60)-1),11)),"")</f>
        <v/>
      </c>
      <c r="E42" s="2" t="str">
        <f t="array" ref="E42">IFERROR(INDEX(_Data!U2:U60,SMALL(IF(ISNUMBER(SEARCH(IF(G4="",CHAR(1),G4),_Data!Q2:Q60)),ROW(_Data!Q2:Q60)-1),11)),"")</f>
        <v/>
      </c>
      <c r="F42" s="3" t="str">
        <f t="array" ref="F42">IFERROR(INDEX(_Data!V2:V60,SMALL(IF(ISNUMBER(SEARCH(IF(G4="",CHAR(1),G4),_Data!Q2:Q60)),ROW(_Data!Q2:Q60)-1),11)),"")</f>
        <v/>
      </c>
      <c r="G42" s="3" t="str">
        <f t="array" ref="G42">IFERROR(INDEX(_Data!W2:W60,SMALL(IF(ISNUMBER(SEARCH(IF(G4="",CHAR(1),G4),_Data!Q2:Q60)),ROW(_Data!Q2:Q60)-1),11)),"")</f>
        <v/>
      </c>
    </row>
    <row r="43" spans="1:7" ht="18" customHeight="1" x14ac:dyDescent="0.3">
      <c r="A43" s="5" t="str">
        <f t="array" ref="A43">IFERROR(INDEX(_Data!Q2:Q60,SMALL(IF(ISNUMBER(SEARCH(IF(G4="",CHAR(1),G4),_Data!Q2:Q60)),ROW(_Data!Q2:Q60)-1),12)),"")</f>
        <v/>
      </c>
      <c r="B43" s="4" t="str">
        <f t="array" ref="B43">IFERROR(INDEX(_Data!R2:R60,SMALL(IF(ISNUMBER(SEARCH(IF(G4="",CHAR(1),G4),_Data!Q2:Q60)),ROW(_Data!Q2:Q60)-1),12)),"")</f>
        <v/>
      </c>
      <c r="C43" s="4" t="str">
        <f t="array" ref="C43">IFERROR(INDEX(_Data!S2:S60,SMALL(IF(ISNUMBER(SEARCH(IF(G4="",CHAR(1),G4),_Data!Q2:Q60)),ROW(_Data!Q2:Q60)-1),12)),"")</f>
        <v/>
      </c>
      <c r="D43" s="5" t="str">
        <f t="array" ref="D43">IFERROR(INDEX(_Data!T2:T60,SMALL(IF(ISNUMBER(SEARCH(IF(G4="",CHAR(1),G4),_Data!Q2:Q60)),ROW(_Data!Q2:Q60)-1),12)),"")</f>
        <v/>
      </c>
      <c r="E43" s="4" t="str">
        <f t="array" ref="E43">IFERROR(INDEX(_Data!U2:U60,SMALL(IF(ISNUMBER(SEARCH(IF(G4="",CHAR(1),G4),_Data!Q2:Q60)),ROW(_Data!Q2:Q60)-1),12)),"")</f>
        <v/>
      </c>
      <c r="F43" s="5" t="str">
        <f t="array" ref="F43">IFERROR(INDEX(_Data!V2:V60,SMALL(IF(ISNUMBER(SEARCH(IF(G4="",CHAR(1),G4),_Data!Q2:Q60)),ROW(_Data!Q2:Q60)-1),12)),"")</f>
        <v/>
      </c>
      <c r="G43" s="5" t="str">
        <f t="array" ref="G43">IFERROR(INDEX(_Data!W2:W60,SMALL(IF(ISNUMBER(SEARCH(IF(G4="",CHAR(1),G4),_Data!Q2:Q60)),ROW(_Data!Q2:Q60)-1),12)),"")</f>
        <v/>
      </c>
    </row>
    <row r="44" spans="1:7" ht="18" customHeight="1" x14ac:dyDescent="0.3">
      <c r="A44" s="3" t="str">
        <f t="array" ref="A44">IFERROR(INDEX(_Data!Q2:Q60,SMALL(IF(ISNUMBER(SEARCH(IF(G4="",CHAR(1),G4),_Data!Q2:Q60)),ROW(_Data!Q2:Q60)-1),13)),"")</f>
        <v/>
      </c>
      <c r="B44" s="2" t="str">
        <f t="array" ref="B44">IFERROR(INDEX(_Data!R2:R60,SMALL(IF(ISNUMBER(SEARCH(IF(G4="",CHAR(1),G4),_Data!Q2:Q60)),ROW(_Data!Q2:Q60)-1),13)),"")</f>
        <v/>
      </c>
      <c r="C44" s="2" t="str">
        <f t="array" ref="C44">IFERROR(INDEX(_Data!S2:S60,SMALL(IF(ISNUMBER(SEARCH(IF(G4="",CHAR(1),G4),_Data!Q2:Q60)),ROW(_Data!Q2:Q60)-1),13)),"")</f>
        <v/>
      </c>
      <c r="D44" s="3" t="str">
        <f t="array" ref="D44">IFERROR(INDEX(_Data!T2:T60,SMALL(IF(ISNUMBER(SEARCH(IF(G4="",CHAR(1),G4),_Data!Q2:Q60)),ROW(_Data!Q2:Q60)-1),13)),"")</f>
        <v/>
      </c>
      <c r="E44" s="2" t="str">
        <f t="array" ref="E44">IFERROR(INDEX(_Data!U2:U60,SMALL(IF(ISNUMBER(SEARCH(IF(G4="",CHAR(1),G4),_Data!Q2:Q60)),ROW(_Data!Q2:Q60)-1),13)),"")</f>
        <v/>
      </c>
      <c r="F44" s="3" t="str">
        <f t="array" ref="F44">IFERROR(INDEX(_Data!V2:V60,SMALL(IF(ISNUMBER(SEARCH(IF(G4="",CHAR(1),G4),_Data!Q2:Q60)),ROW(_Data!Q2:Q60)-1),13)),"")</f>
        <v/>
      </c>
      <c r="G44" s="3" t="str">
        <f t="array" ref="G44">IFERROR(INDEX(_Data!W2:W60,SMALL(IF(ISNUMBER(SEARCH(IF(G4="",CHAR(1),G4),_Data!Q2:Q60)),ROW(_Data!Q2:Q60)-1),13)),"")</f>
        <v/>
      </c>
    </row>
    <row r="45" spans="1:7" ht="18" customHeight="1" x14ac:dyDescent="0.3">
      <c r="A45" s="5" t="str">
        <f t="array" ref="A45">IFERROR(INDEX(_Data!Q2:Q60,SMALL(IF(ISNUMBER(SEARCH(IF(G4="",CHAR(1),G4),_Data!Q2:Q60)),ROW(_Data!Q2:Q60)-1),14)),"")</f>
        <v/>
      </c>
      <c r="B45" s="4" t="str">
        <f t="array" ref="B45">IFERROR(INDEX(_Data!R2:R60,SMALL(IF(ISNUMBER(SEARCH(IF(G4="",CHAR(1),G4),_Data!Q2:Q60)),ROW(_Data!Q2:Q60)-1),14)),"")</f>
        <v/>
      </c>
      <c r="C45" s="4" t="str">
        <f t="array" ref="C45">IFERROR(INDEX(_Data!S2:S60,SMALL(IF(ISNUMBER(SEARCH(IF(G4="",CHAR(1),G4),_Data!Q2:Q60)),ROW(_Data!Q2:Q60)-1),14)),"")</f>
        <v/>
      </c>
      <c r="D45" s="5" t="str">
        <f t="array" ref="D45">IFERROR(INDEX(_Data!T2:T60,SMALL(IF(ISNUMBER(SEARCH(IF(G4="",CHAR(1),G4),_Data!Q2:Q60)),ROW(_Data!Q2:Q60)-1),14)),"")</f>
        <v/>
      </c>
      <c r="E45" s="4" t="str">
        <f t="array" ref="E45">IFERROR(INDEX(_Data!U2:U60,SMALL(IF(ISNUMBER(SEARCH(IF(G4="",CHAR(1),G4),_Data!Q2:Q60)),ROW(_Data!Q2:Q60)-1),14)),"")</f>
        <v/>
      </c>
      <c r="F45" s="5" t="str">
        <f t="array" ref="F45">IFERROR(INDEX(_Data!V2:V60,SMALL(IF(ISNUMBER(SEARCH(IF(G4="",CHAR(1),G4),_Data!Q2:Q60)),ROW(_Data!Q2:Q60)-1),14)),"")</f>
        <v/>
      </c>
      <c r="G45" s="5" t="str">
        <f t="array" ref="G45">IFERROR(INDEX(_Data!W2:W60,SMALL(IF(ISNUMBER(SEARCH(IF(G4="",CHAR(1),G4),_Data!Q2:Q60)),ROW(_Data!Q2:Q60)-1),14)),"")</f>
        <v/>
      </c>
    </row>
    <row r="46" spans="1:7" ht="18" customHeight="1" x14ac:dyDescent="0.3">
      <c r="A46" s="3" t="str">
        <f t="array" ref="A46">IFERROR(INDEX(_Data!Q2:Q60,SMALL(IF(ISNUMBER(SEARCH(IF(G4="",CHAR(1),G4),_Data!Q2:Q60)),ROW(_Data!Q2:Q60)-1),15)),"")</f>
        <v/>
      </c>
      <c r="B46" s="2" t="str">
        <f t="array" ref="B46">IFERROR(INDEX(_Data!R2:R60,SMALL(IF(ISNUMBER(SEARCH(IF(G4="",CHAR(1),G4),_Data!Q2:Q60)),ROW(_Data!Q2:Q60)-1),15)),"")</f>
        <v/>
      </c>
      <c r="C46" s="2" t="str">
        <f t="array" ref="C46">IFERROR(INDEX(_Data!S2:S60,SMALL(IF(ISNUMBER(SEARCH(IF(G4="",CHAR(1),G4),_Data!Q2:Q60)),ROW(_Data!Q2:Q60)-1),15)),"")</f>
        <v/>
      </c>
      <c r="D46" s="3" t="str">
        <f t="array" ref="D46">IFERROR(INDEX(_Data!T2:T60,SMALL(IF(ISNUMBER(SEARCH(IF(G4="",CHAR(1),G4),_Data!Q2:Q60)),ROW(_Data!Q2:Q60)-1),15)),"")</f>
        <v/>
      </c>
      <c r="E46" s="2" t="str">
        <f t="array" ref="E46">IFERROR(INDEX(_Data!U2:U60,SMALL(IF(ISNUMBER(SEARCH(IF(G4="",CHAR(1),G4),_Data!Q2:Q60)),ROW(_Data!Q2:Q60)-1),15)),"")</f>
        <v/>
      </c>
      <c r="F46" s="3" t="str">
        <f t="array" ref="F46">IFERROR(INDEX(_Data!V2:V60,SMALL(IF(ISNUMBER(SEARCH(IF(G4="",CHAR(1),G4),_Data!Q2:Q60)),ROW(_Data!Q2:Q60)-1),15)),"")</f>
        <v/>
      </c>
      <c r="G46" s="3" t="str">
        <f t="array" ref="G46">IFERROR(INDEX(_Data!W2:W60,SMALL(IF(ISNUMBER(SEARCH(IF(G4="",CHAR(1),G4),_Data!Q2:Q60)),ROW(_Data!Q2:Q60)-1),15)),"")</f>
        <v/>
      </c>
    </row>
    <row r="47" spans="1:7" ht="18" customHeight="1" x14ac:dyDescent="0.3">
      <c r="A47" s="5" t="str">
        <f t="array" ref="A47">IFERROR(INDEX(_Data!Q2:Q60,SMALL(IF(ISNUMBER(SEARCH(IF(G4="",CHAR(1),G4),_Data!Q2:Q60)),ROW(_Data!Q2:Q60)-1),16)),"")</f>
        <v/>
      </c>
      <c r="B47" s="4" t="str">
        <f t="array" ref="B47">IFERROR(INDEX(_Data!R2:R60,SMALL(IF(ISNUMBER(SEARCH(IF(G4="",CHAR(1),G4),_Data!Q2:Q60)),ROW(_Data!Q2:Q60)-1),16)),"")</f>
        <v/>
      </c>
      <c r="C47" s="4" t="str">
        <f t="array" ref="C47">IFERROR(INDEX(_Data!S2:S60,SMALL(IF(ISNUMBER(SEARCH(IF(G4="",CHAR(1),G4),_Data!Q2:Q60)),ROW(_Data!Q2:Q60)-1),16)),"")</f>
        <v/>
      </c>
      <c r="D47" s="5" t="str">
        <f t="array" ref="D47">IFERROR(INDEX(_Data!T2:T60,SMALL(IF(ISNUMBER(SEARCH(IF(G4="",CHAR(1),G4),_Data!Q2:Q60)),ROW(_Data!Q2:Q60)-1),16)),"")</f>
        <v/>
      </c>
      <c r="E47" s="4" t="str">
        <f t="array" ref="E47">IFERROR(INDEX(_Data!U2:U60,SMALL(IF(ISNUMBER(SEARCH(IF(G4="",CHAR(1),G4),_Data!Q2:Q60)),ROW(_Data!Q2:Q60)-1),16)),"")</f>
        <v/>
      </c>
      <c r="F47" s="5" t="str">
        <f t="array" ref="F47">IFERROR(INDEX(_Data!V2:V60,SMALL(IF(ISNUMBER(SEARCH(IF(G4="",CHAR(1),G4),_Data!Q2:Q60)),ROW(_Data!Q2:Q60)-1),16)),"")</f>
        <v/>
      </c>
      <c r="G47" s="5" t="str">
        <f t="array" ref="G47">IFERROR(INDEX(_Data!W2:W60,SMALL(IF(ISNUMBER(SEARCH(IF(G4="",CHAR(1),G4),_Data!Q2:Q60)),ROW(_Data!Q2:Q60)-1),16)),"")</f>
        <v/>
      </c>
    </row>
    <row r="48" spans="1:7" ht="18" customHeight="1" x14ac:dyDescent="0.3">
      <c r="A48" s="3" t="str">
        <f t="array" ref="A48">IFERROR(INDEX(_Data!Q2:Q60,SMALL(IF(ISNUMBER(SEARCH(IF(G4="",CHAR(1),G4),_Data!Q2:Q60)),ROW(_Data!Q2:Q60)-1),17)),"")</f>
        <v/>
      </c>
      <c r="B48" s="2" t="str">
        <f t="array" ref="B48">IFERROR(INDEX(_Data!R2:R60,SMALL(IF(ISNUMBER(SEARCH(IF(G4="",CHAR(1),G4),_Data!Q2:Q60)),ROW(_Data!Q2:Q60)-1),17)),"")</f>
        <v/>
      </c>
      <c r="C48" s="2" t="str">
        <f t="array" ref="C48">IFERROR(INDEX(_Data!S2:S60,SMALL(IF(ISNUMBER(SEARCH(IF(G4="",CHAR(1),G4),_Data!Q2:Q60)),ROW(_Data!Q2:Q60)-1),17)),"")</f>
        <v/>
      </c>
      <c r="D48" s="3" t="str">
        <f t="array" ref="D48">IFERROR(INDEX(_Data!T2:T60,SMALL(IF(ISNUMBER(SEARCH(IF(G4="",CHAR(1),G4),_Data!Q2:Q60)),ROW(_Data!Q2:Q60)-1),17)),"")</f>
        <v/>
      </c>
      <c r="E48" s="2" t="str">
        <f t="array" ref="E48">IFERROR(INDEX(_Data!U2:U60,SMALL(IF(ISNUMBER(SEARCH(IF(G4="",CHAR(1),G4),_Data!Q2:Q60)),ROW(_Data!Q2:Q60)-1),17)),"")</f>
        <v/>
      </c>
      <c r="F48" s="3" t="str">
        <f t="array" ref="F48">IFERROR(INDEX(_Data!V2:V60,SMALL(IF(ISNUMBER(SEARCH(IF(G4="",CHAR(1),G4),_Data!Q2:Q60)),ROW(_Data!Q2:Q60)-1),17)),"")</f>
        <v/>
      </c>
      <c r="G48" s="3" t="str">
        <f t="array" ref="G48">IFERROR(INDEX(_Data!W2:W60,SMALL(IF(ISNUMBER(SEARCH(IF(G4="",CHAR(1),G4),_Data!Q2:Q60)),ROW(_Data!Q2:Q60)-1),17)),"")</f>
        <v/>
      </c>
    </row>
    <row r="49" spans="1:7" ht="18" customHeight="1" x14ac:dyDescent="0.3">
      <c r="A49" s="5" t="str">
        <f t="array" ref="A49">IFERROR(INDEX(_Data!Q2:Q60,SMALL(IF(ISNUMBER(SEARCH(IF(G4="",CHAR(1),G4),_Data!Q2:Q60)),ROW(_Data!Q2:Q60)-1),18)),"")</f>
        <v/>
      </c>
      <c r="B49" s="4" t="str">
        <f t="array" ref="B49">IFERROR(INDEX(_Data!R2:R60,SMALL(IF(ISNUMBER(SEARCH(IF(G4="",CHAR(1),G4),_Data!Q2:Q60)),ROW(_Data!Q2:Q60)-1),18)),"")</f>
        <v/>
      </c>
      <c r="C49" s="4" t="str">
        <f t="array" ref="C49">IFERROR(INDEX(_Data!S2:S60,SMALL(IF(ISNUMBER(SEARCH(IF(G4="",CHAR(1),G4),_Data!Q2:Q60)),ROW(_Data!Q2:Q60)-1),18)),"")</f>
        <v/>
      </c>
      <c r="D49" s="5" t="str">
        <f t="array" ref="D49">IFERROR(INDEX(_Data!T2:T60,SMALL(IF(ISNUMBER(SEARCH(IF(G4="",CHAR(1),G4),_Data!Q2:Q60)),ROW(_Data!Q2:Q60)-1),18)),"")</f>
        <v/>
      </c>
      <c r="E49" s="4" t="str">
        <f t="array" ref="E49">IFERROR(INDEX(_Data!U2:U60,SMALL(IF(ISNUMBER(SEARCH(IF(G4="",CHAR(1),G4),_Data!Q2:Q60)),ROW(_Data!Q2:Q60)-1),18)),"")</f>
        <v/>
      </c>
      <c r="F49" s="5" t="str">
        <f t="array" ref="F49">IFERROR(INDEX(_Data!V2:V60,SMALL(IF(ISNUMBER(SEARCH(IF(G4="",CHAR(1),G4),_Data!Q2:Q60)),ROW(_Data!Q2:Q60)-1),18)),"")</f>
        <v/>
      </c>
      <c r="G49" s="5" t="str">
        <f t="array" ref="G49">IFERROR(INDEX(_Data!W2:W60,SMALL(IF(ISNUMBER(SEARCH(IF(G4="",CHAR(1),G4),_Data!Q2:Q60)),ROW(_Data!Q2:Q60)-1),18)),"")</f>
        <v/>
      </c>
    </row>
    <row r="50" spans="1:7" ht="18" customHeight="1" x14ac:dyDescent="0.3">
      <c r="A50" s="3" t="str">
        <f t="array" ref="A50">IFERROR(INDEX(_Data!Q2:Q60,SMALL(IF(ISNUMBER(SEARCH(IF(G4="",CHAR(1),G4),_Data!Q2:Q60)),ROW(_Data!Q2:Q60)-1),19)),"")</f>
        <v/>
      </c>
      <c r="B50" s="2" t="str">
        <f t="array" ref="B50">IFERROR(INDEX(_Data!R2:R60,SMALL(IF(ISNUMBER(SEARCH(IF(G4="",CHAR(1),G4),_Data!Q2:Q60)),ROW(_Data!Q2:Q60)-1),19)),"")</f>
        <v/>
      </c>
      <c r="C50" s="2" t="str">
        <f t="array" ref="C50">IFERROR(INDEX(_Data!S2:S60,SMALL(IF(ISNUMBER(SEARCH(IF(G4="",CHAR(1),G4),_Data!Q2:Q60)),ROW(_Data!Q2:Q60)-1),19)),"")</f>
        <v/>
      </c>
      <c r="D50" s="3" t="str">
        <f t="array" ref="D50">IFERROR(INDEX(_Data!T2:T60,SMALL(IF(ISNUMBER(SEARCH(IF(G4="",CHAR(1),G4),_Data!Q2:Q60)),ROW(_Data!Q2:Q60)-1),19)),"")</f>
        <v/>
      </c>
      <c r="E50" s="2" t="str">
        <f t="array" ref="E50">IFERROR(INDEX(_Data!U2:U60,SMALL(IF(ISNUMBER(SEARCH(IF(G4="",CHAR(1),G4),_Data!Q2:Q60)),ROW(_Data!Q2:Q60)-1),19)),"")</f>
        <v/>
      </c>
      <c r="F50" s="3" t="str">
        <f t="array" ref="F50">IFERROR(INDEX(_Data!V2:V60,SMALL(IF(ISNUMBER(SEARCH(IF(G4="",CHAR(1),G4),_Data!Q2:Q60)),ROW(_Data!Q2:Q60)-1),19)),"")</f>
        <v/>
      </c>
      <c r="G50" s="3" t="str">
        <f t="array" ref="G50">IFERROR(INDEX(_Data!W2:W60,SMALL(IF(ISNUMBER(SEARCH(IF(G4="",CHAR(1),G4),_Data!Q2:Q60)),ROW(_Data!Q2:Q60)-1),19)),"")</f>
        <v/>
      </c>
    </row>
    <row r="51" spans="1:7" ht="18" customHeight="1" x14ac:dyDescent="0.3">
      <c r="A51" s="5" t="str">
        <f t="array" ref="A51">IFERROR(INDEX(_Data!Q2:Q60,SMALL(IF(ISNUMBER(SEARCH(IF(G4="",CHAR(1),G4),_Data!Q2:Q60)),ROW(_Data!Q2:Q60)-1),20)),"")</f>
        <v/>
      </c>
      <c r="B51" s="4" t="str">
        <f t="array" ref="B51">IFERROR(INDEX(_Data!R2:R60,SMALL(IF(ISNUMBER(SEARCH(IF(G4="",CHAR(1),G4),_Data!Q2:Q60)),ROW(_Data!Q2:Q60)-1),20)),"")</f>
        <v/>
      </c>
      <c r="C51" s="4" t="str">
        <f t="array" ref="C51">IFERROR(INDEX(_Data!S2:S60,SMALL(IF(ISNUMBER(SEARCH(IF(G4="",CHAR(1),G4),_Data!Q2:Q60)),ROW(_Data!Q2:Q60)-1),20)),"")</f>
        <v/>
      </c>
      <c r="D51" s="5" t="str">
        <f t="array" ref="D51">IFERROR(INDEX(_Data!T2:T60,SMALL(IF(ISNUMBER(SEARCH(IF(G4="",CHAR(1),G4),_Data!Q2:Q60)),ROW(_Data!Q2:Q60)-1),20)),"")</f>
        <v/>
      </c>
      <c r="E51" s="4" t="str">
        <f t="array" ref="E51">IFERROR(INDEX(_Data!U2:U60,SMALL(IF(ISNUMBER(SEARCH(IF(G4="",CHAR(1),G4),_Data!Q2:Q60)),ROW(_Data!Q2:Q60)-1),20)),"")</f>
        <v/>
      </c>
      <c r="F51" s="5" t="str">
        <f t="array" ref="F51">IFERROR(INDEX(_Data!V2:V60,SMALL(IF(ISNUMBER(SEARCH(IF(G4="",CHAR(1),G4),_Data!Q2:Q60)),ROW(_Data!Q2:Q60)-1),20)),"")</f>
        <v/>
      </c>
      <c r="G51" s="5" t="str">
        <f t="array" ref="G51">IFERROR(INDEX(_Data!W2:W60,SMALL(IF(ISNUMBER(SEARCH(IF(G4="",CHAR(1),G4),_Data!Q2:Q60)),ROW(_Data!Q2:Q60)-1),20)),"")</f>
        <v/>
      </c>
    </row>
  </sheetData>
  <mergeCells count="7">
    <mergeCell ref="A30:G30"/>
    <mergeCell ref="G5:M5"/>
    <mergeCell ref="B4:F4"/>
    <mergeCell ref="A7:O7"/>
    <mergeCell ref="A1:P1"/>
    <mergeCell ref="A2:P2"/>
    <mergeCell ref="G4:M4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C0272D"/>
  </sheetPr>
  <dimension ref="A1:G61"/>
  <sheetViews>
    <sheetView showGridLines="0" workbookViewId="0">
      <selection activeCell="B19" sqref="B19"/>
    </sheetView>
  </sheetViews>
  <sheetFormatPr baseColWidth="10" defaultColWidth="8.88671875" defaultRowHeight="14.4" x14ac:dyDescent="0.3"/>
  <cols>
    <col min="1" max="1" width="24.33203125" bestFit="1" customWidth="1"/>
    <col min="2" max="2" width="14.6640625" bestFit="1" customWidth="1"/>
    <col min="3" max="3" width="13" bestFit="1" customWidth="1"/>
    <col min="4" max="4" width="27.21875" bestFit="1" customWidth="1"/>
    <col min="5" max="5" width="18.6640625" bestFit="1" customWidth="1"/>
    <col min="6" max="6" width="45.21875" bestFit="1" customWidth="1"/>
    <col min="7" max="7" width="17" bestFit="1" customWidth="1"/>
  </cols>
  <sheetData>
    <row r="1" spans="1:7" ht="36" customHeight="1" x14ac:dyDescent="0.3">
      <c r="A1" s="17" t="s">
        <v>26</v>
      </c>
      <c r="B1" s="12"/>
      <c r="C1" s="12"/>
      <c r="D1" s="12"/>
      <c r="E1" s="12"/>
      <c r="F1" s="12"/>
      <c r="G1" s="12"/>
    </row>
    <row r="2" spans="1:7" ht="30" customHeight="1" x14ac:dyDescent="0.3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8</v>
      </c>
    </row>
    <row r="3" spans="1:7" ht="18" hidden="1" customHeight="1" x14ac:dyDescent="0.3">
      <c r="A3" s="3" t="s">
        <v>27</v>
      </c>
      <c r="B3" s="2" t="s">
        <v>28</v>
      </c>
      <c r="C3" s="2" t="s">
        <v>29</v>
      </c>
      <c r="D3" s="3" t="s">
        <v>30</v>
      </c>
      <c r="E3" s="2" t="s">
        <v>31</v>
      </c>
      <c r="F3" s="3"/>
      <c r="G3" s="3" t="s">
        <v>32</v>
      </c>
    </row>
    <row r="4" spans="1:7" ht="18" customHeight="1" x14ac:dyDescent="0.3">
      <c r="A4" s="5" t="s">
        <v>33</v>
      </c>
      <c r="B4" s="4" t="s">
        <v>34</v>
      </c>
      <c r="C4" s="4" t="s">
        <v>29</v>
      </c>
      <c r="D4" s="5" t="s">
        <v>35</v>
      </c>
      <c r="E4" s="4" t="s">
        <v>36</v>
      </c>
      <c r="F4" s="5"/>
      <c r="G4" s="5" t="s">
        <v>37</v>
      </c>
    </row>
    <row r="5" spans="1:7" ht="18" hidden="1" customHeight="1" x14ac:dyDescent="0.3">
      <c r="A5" s="3" t="s">
        <v>38</v>
      </c>
      <c r="B5" s="2" t="s">
        <v>39</v>
      </c>
      <c r="C5" s="2" t="s">
        <v>29</v>
      </c>
      <c r="D5" s="3" t="s">
        <v>40</v>
      </c>
      <c r="E5" s="2" t="s">
        <v>41</v>
      </c>
      <c r="F5" s="3"/>
      <c r="G5" s="3" t="s">
        <v>37</v>
      </c>
    </row>
    <row r="6" spans="1:7" ht="18" hidden="1" customHeight="1" x14ac:dyDescent="0.3">
      <c r="A6" s="5" t="s">
        <v>42</v>
      </c>
      <c r="B6" s="4" t="s">
        <v>43</v>
      </c>
      <c r="C6" s="4" t="s">
        <v>29</v>
      </c>
      <c r="D6" s="5" t="s">
        <v>44</v>
      </c>
      <c r="E6" s="4" t="s">
        <v>45</v>
      </c>
      <c r="F6" s="5"/>
      <c r="G6" s="5" t="s">
        <v>46</v>
      </c>
    </row>
    <row r="7" spans="1:7" ht="18" hidden="1" customHeight="1" x14ac:dyDescent="0.3">
      <c r="A7" s="3" t="s">
        <v>47</v>
      </c>
      <c r="B7" s="2" t="s">
        <v>48</v>
      </c>
      <c r="C7" s="2" t="s">
        <v>29</v>
      </c>
      <c r="D7" s="3" t="s">
        <v>30</v>
      </c>
      <c r="E7" s="2" t="s">
        <v>49</v>
      </c>
      <c r="F7" s="3"/>
      <c r="G7" s="3" t="s">
        <v>50</v>
      </c>
    </row>
    <row r="8" spans="1:7" ht="18" hidden="1" customHeight="1" x14ac:dyDescent="0.3">
      <c r="A8" s="5" t="s">
        <v>51</v>
      </c>
      <c r="B8" s="4" t="s">
        <v>52</v>
      </c>
      <c r="C8" s="4" t="s">
        <v>29</v>
      </c>
      <c r="D8" s="5" t="s">
        <v>30</v>
      </c>
      <c r="E8" s="4" t="s">
        <v>53</v>
      </c>
      <c r="F8" s="5"/>
      <c r="G8" s="5" t="s">
        <v>54</v>
      </c>
    </row>
    <row r="9" spans="1:7" ht="18" hidden="1" customHeight="1" x14ac:dyDescent="0.3">
      <c r="A9" s="3" t="s">
        <v>55</v>
      </c>
      <c r="B9" s="2" t="s">
        <v>56</v>
      </c>
      <c r="C9" s="2" t="s">
        <v>29</v>
      </c>
      <c r="D9" s="3"/>
      <c r="E9" s="2"/>
      <c r="F9" s="3" t="s">
        <v>57</v>
      </c>
      <c r="G9" s="3"/>
    </row>
    <row r="10" spans="1:7" ht="18" hidden="1" customHeight="1" x14ac:dyDescent="0.3">
      <c r="A10" s="5" t="s">
        <v>58</v>
      </c>
      <c r="B10" s="4" t="s">
        <v>59</v>
      </c>
      <c r="C10" s="4" t="s">
        <v>29</v>
      </c>
      <c r="D10" s="5"/>
      <c r="E10" s="4"/>
      <c r="F10" s="5" t="s">
        <v>60</v>
      </c>
      <c r="G10" s="5"/>
    </row>
    <row r="11" spans="1:7" ht="18" hidden="1" customHeight="1" x14ac:dyDescent="0.3">
      <c r="A11" s="3" t="s">
        <v>61</v>
      </c>
      <c r="B11" s="2">
        <v>56993430683</v>
      </c>
      <c r="C11" s="2" t="s">
        <v>29</v>
      </c>
      <c r="D11" s="3" t="s">
        <v>44</v>
      </c>
      <c r="E11" s="2"/>
      <c r="F11" s="3" t="s">
        <v>63</v>
      </c>
      <c r="G11" s="3" t="s">
        <v>64</v>
      </c>
    </row>
    <row r="12" spans="1:7" ht="18" hidden="1" customHeight="1" x14ac:dyDescent="0.3">
      <c r="A12" s="5" t="s">
        <v>65</v>
      </c>
      <c r="B12" s="4" t="s">
        <v>66</v>
      </c>
      <c r="C12" s="4" t="s">
        <v>29</v>
      </c>
      <c r="D12" s="5" t="s">
        <v>67</v>
      </c>
      <c r="E12" s="4" t="s">
        <v>68</v>
      </c>
      <c r="F12" s="5"/>
      <c r="G12" s="5" t="s">
        <v>69</v>
      </c>
    </row>
    <row r="13" spans="1:7" ht="18" hidden="1" customHeight="1" x14ac:dyDescent="0.3">
      <c r="A13" s="3" t="s">
        <v>70</v>
      </c>
      <c r="B13" s="2" t="s">
        <v>71</v>
      </c>
      <c r="C13" s="2" t="s">
        <v>29</v>
      </c>
      <c r="D13" s="3" t="s">
        <v>35</v>
      </c>
      <c r="E13" s="2" t="s">
        <v>72</v>
      </c>
      <c r="F13" s="3"/>
      <c r="G13" s="3" t="s">
        <v>73</v>
      </c>
    </row>
    <row r="14" spans="1:7" ht="18" hidden="1" customHeight="1" x14ac:dyDescent="0.3">
      <c r="A14" s="5" t="s">
        <v>74</v>
      </c>
      <c r="B14" s="4" t="s">
        <v>75</v>
      </c>
      <c r="C14" s="4" t="s">
        <v>29</v>
      </c>
      <c r="D14" s="5" t="s">
        <v>44</v>
      </c>
      <c r="E14" s="4"/>
      <c r="F14" s="5"/>
      <c r="G14" s="5" t="s">
        <v>76</v>
      </c>
    </row>
    <row r="15" spans="1:7" ht="18" hidden="1" customHeight="1" x14ac:dyDescent="0.3">
      <c r="A15" s="3" t="s">
        <v>77</v>
      </c>
      <c r="B15" s="2" t="s">
        <v>78</v>
      </c>
      <c r="C15" s="2" t="s">
        <v>29</v>
      </c>
      <c r="D15" s="3" t="s">
        <v>79</v>
      </c>
      <c r="E15" s="2" t="s">
        <v>80</v>
      </c>
      <c r="F15" s="3" t="s">
        <v>81</v>
      </c>
      <c r="G15" s="3" t="s">
        <v>46</v>
      </c>
    </row>
    <row r="16" spans="1:7" ht="18" hidden="1" customHeight="1" x14ac:dyDescent="0.3">
      <c r="A16" s="5" t="s">
        <v>82</v>
      </c>
      <c r="B16" s="4" t="s">
        <v>83</v>
      </c>
      <c r="C16" s="4" t="s">
        <v>29</v>
      </c>
      <c r="D16" s="5" t="s">
        <v>44</v>
      </c>
      <c r="E16" s="4" t="s">
        <v>84</v>
      </c>
      <c r="F16" s="5"/>
      <c r="G16" s="5" t="s">
        <v>85</v>
      </c>
    </row>
    <row r="17" spans="1:7" ht="18" hidden="1" customHeight="1" x14ac:dyDescent="0.3">
      <c r="A17" s="3" t="s">
        <v>86</v>
      </c>
      <c r="B17" s="2" t="s">
        <v>87</v>
      </c>
      <c r="C17" s="2" t="s">
        <v>29</v>
      </c>
      <c r="D17" s="3" t="s">
        <v>40</v>
      </c>
      <c r="E17" s="2" t="s">
        <v>88</v>
      </c>
      <c r="F17" s="3"/>
      <c r="G17" s="3" t="s">
        <v>89</v>
      </c>
    </row>
    <row r="18" spans="1:7" ht="18" hidden="1" customHeight="1" x14ac:dyDescent="0.3">
      <c r="A18" s="5" t="s">
        <v>90</v>
      </c>
      <c r="B18" s="4" t="s">
        <v>91</v>
      </c>
      <c r="C18" s="4" t="s">
        <v>29</v>
      </c>
      <c r="D18" s="5" t="s">
        <v>92</v>
      </c>
      <c r="E18" s="4" t="s">
        <v>93</v>
      </c>
      <c r="F18" s="5"/>
      <c r="G18" s="5" t="s">
        <v>94</v>
      </c>
    </row>
    <row r="19" spans="1:7" ht="18" customHeight="1" x14ac:dyDescent="0.3">
      <c r="A19" s="3" t="s">
        <v>95</v>
      </c>
      <c r="B19" s="2" t="s">
        <v>96</v>
      </c>
      <c r="C19" s="2" t="s">
        <v>29</v>
      </c>
      <c r="D19" s="3" t="s">
        <v>44</v>
      </c>
      <c r="E19" s="2" t="s">
        <v>97</v>
      </c>
      <c r="F19" s="3"/>
      <c r="G19" s="3" t="s">
        <v>98</v>
      </c>
    </row>
    <row r="20" spans="1:7" ht="18" hidden="1" customHeight="1" x14ac:dyDescent="0.3">
      <c r="A20" s="5" t="s">
        <v>99</v>
      </c>
      <c r="B20" s="4" t="s">
        <v>100</v>
      </c>
      <c r="C20" s="4" t="s">
        <v>29</v>
      </c>
      <c r="D20" s="5" t="s">
        <v>101</v>
      </c>
      <c r="E20" s="4" t="s">
        <v>102</v>
      </c>
      <c r="F20" s="5" t="s">
        <v>103</v>
      </c>
      <c r="G20" s="5" t="s">
        <v>98</v>
      </c>
    </row>
    <row r="21" spans="1:7" ht="18" hidden="1" customHeight="1" x14ac:dyDescent="0.3">
      <c r="A21" s="3" t="s">
        <v>104</v>
      </c>
      <c r="B21" s="2" t="s">
        <v>105</v>
      </c>
      <c r="C21" s="2" t="s">
        <v>29</v>
      </c>
      <c r="D21" s="3" t="s">
        <v>106</v>
      </c>
      <c r="E21" s="2" t="s">
        <v>107</v>
      </c>
      <c r="F21" s="3"/>
      <c r="G21" s="3" t="s">
        <v>108</v>
      </c>
    </row>
    <row r="22" spans="1:7" ht="18" hidden="1" customHeight="1" x14ac:dyDescent="0.3">
      <c r="A22" s="5" t="s">
        <v>109</v>
      </c>
      <c r="B22" s="4" t="s">
        <v>110</v>
      </c>
      <c r="C22" s="4" t="s">
        <v>29</v>
      </c>
      <c r="D22" s="5"/>
      <c r="E22" s="4"/>
      <c r="F22" s="5" t="s">
        <v>111</v>
      </c>
      <c r="G22" s="5" t="s">
        <v>46</v>
      </c>
    </row>
    <row r="23" spans="1:7" ht="18" hidden="1" customHeight="1" x14ac:dyDescent="0.3">
      <c r="A23" s="3" t="s">
        <v>112</v>
      </c>
      <c r="B23" s="2" t="s">
        <v>113</v>
      </c>
      <c r="C23" s="2" t="s">
        <v>29</v>
      </c>
      <c r="D23" s="3" t="s">
        <v>114</v>
      </c>
      <c r="E23" s="2" t="s">
        <v>115</v>
      </c>
      <c r="F23" s="3"/>
      <c r="G23" s="3" t="s">
        <v>85</v>
      </c>
    </row>
    <row r="24" spans="1:7" ht="18" hidden="1" customHeight="1" x14ac:dyDescent="0.3">
      <c r="A24" s="5" t="s">
        <v>116</v>
      </c>
      <c r="B24" s="4" t="s">
        <v>117</v>
      </c>
      <c r="C24" s="4" t="s">
        <v>29</v>
      </c>
      <c r="D24" s="5" t="s">
        <v>67</v>
      </c>
      <c r="E24" s="4" t="s">
        <v>118</v>
      </c>
      <c r="F24" s="5"/>
      <c r="G24" s="5" t="s">
        <v>119</v>
      </c>
    </row>
    <row r="25" spans="1:7" ht="18" hidden="1" customHeight="1" x14ac:dyDescent="0.3">
      <c r="A25" s="3" t="s">
        <v>120</v>
      </c>
      <c r="B25" s="2" t="s">
        <v>121</v>
      </c>
      <c r="C25" s="2" t="s">
        <v>29</v>
      </c>
      <c r="D25" s="3" t="s">
        <v>122</v>
      </c>
      <c r="E25" s="2" t="s">
        <v>123</v>
      </c>
      <c r="F25" s="3"/>
      <c r="G25" s="3" t="s">
        <v>46</v>
      </c>
    </row>
    <row r="26" spans="1:7" ht="18" hidden="1" customHeight="1" x14ac:dyDescent="0.3">
      <c r="A26" s="5" t="s">
        <v>124</v>
      </c>
      <c r="B26" s="4" t="s">
        <v>125</v>
      </c>
      <c r="C26" s="4" t="s">
        <v>29</v>
      </c>
      <c r="D26" s="5" t="s">
        <v>114</v>
      </c>
      <c r="E26" s="4" t="s">
        <v>126</v>
      </c>
      <c r="F26" s="5"/>
      <c r="G26" s="5" t="s">
        <v>127</v>
      </c>
    </row>
    <row r="27" spans="1:7" ht="18" hidden="1" customHeight="1" x14ac:dyDescent="0.3">
      <c r="A27" s="3" t="s">
        <v>128</v>
      </c>
      <c r="B27" s="2" t="s">
        <v>129</v>
      </c>
      <c r="C27" s="2" t="s">
        <v>29</v>
      </c>
      <c r="D27" s="3" t="s">
        <v>130</v>
      </c>
      <c r="E27" s="2" t="s">
        <v>131</v>
      </c>
      <c r="F27" s="3"/>
      <c r="G27" s="3" t="s">
        <v>132</v>
      </c>
    </row>
    <row r="28" spans="1:7" ht="18" hidden="1" customHeight="1" x14ac:dyDescent="0.3">
      <c r="A28" s="5" t="s">
        <v>133</v>
      </c>
      <c r="B28" s="4" t="s">
        <v>134</v>
      </c>
      <c r="C28" s="4" t="s">
        <v>29</v>
      </c>
      <c r="D28" s="5" t="s">
        <v>44</v>
      </c>
      <c r="E28" s="4" t="s">
        <v>135</v>
      </c>
      <c r="F28" s="5"/>
      <c r="G28" s="5" t="s">
        <v>136</v>
      </c>
    </row>
    <row r="29" spans="1:7" ht="18" hidden="1" customHeight="1" x14ac:dyDescent="0.3">
      <c r="A29" s="3" t="s">
        <v>137</v>
      </c>
      <c r="B29" s="2" t="s">
        <v>138</v>
      </c>
      <c r="C29" s="2" t="s">
        <v>29</v>
      </c>
      <c r="D29" s="3" t="s">
        <v>139</v>
      </c>
      <c r="E29" s="2" t="s">
        <v>140</v>
      </c>
      <c r="F29" s="3"/>
      <c r="G29" s="3" t="s">
        <v>108</v>
      </c>
    </row>
    <row r="30" spans="1:7" ht="18" hidden="1" customHeight="1" x14ac:dyDescent="0.3">
      <c r="A30" s="5" t="s">
        <v>141</v>
      </c>
      <c r="B30" s="4" t="s">
        <v>142</v>
      </c>
      <c r="C30" s="4" t="s">
        <v>29</v>
      </c>
      <c r="D30" s="5" t="s">
        <v>122</v>
      </c>
      <c r="E30" s="4" t="s">
        <v>143</v>
      </c>
      <c r="F30" s="5"/>
      <c r="G30" s="5" t="s">
        <v>46</v>
      </c>
    </row>
    <row r="31" spans="1:7" ht="18" hidden="1" customHeight="1" x14ac:dyDescent="0.3">
      <c r="A31" s="3" t="s">
        <v>144</v>
      </c>
      <c r="B31" s="2" t="s">
        <v>145</v>
      </c>
      <c r="C31" s="2" t="s">
        <v>29</v>
      </c>
      <c r="D31" s="3" t="s">
        <v>146</v>
      </c>
      <c r="E31" s="2" t="s">
        <v>147</v>
      </c>
      <c r="F31" s="3"/>
      <c r="G31" s="3" t="s">
        <v>85</v>
      </c>
    </row>
    <row r="32" spans="1:7" ht="18" hidden="1" customHeight="1" x14ac:dyDescent="0.3">
      <c r="A32" s="5" t="s">
        <v>148</v>
      </c>
      <c r="B32" s="4" t="s">
        <v>149</v>
      </c>
      <c r="C32" s="4" t="s">
        <v>29</v>
      </c>
      <c r="D32" s="5" t="s">
        <v>44</v>
      </c>
      <c r="E32" s="4"/>
      <c r="F32" s="5"/>
      <c r="G32" s="5" t="s">
        <v>64</v>
      </c>
    </row>
    <row r="33" spans="1:7" ht="18" hidden="1" customHeight="1" x14ac:dyDescent="0.3">
      <c r="A33" s="3" t="s">
        <v>150</v>
      </c>
      <c r="B33" s="2" t="s">
        <v>151</v>
      </c>
      <c r="C33" s="2" t="s">
        <v>29</v>
      </c>
      <c r="D33" s="3"/>
      <c r="E33" s="2"/>
      <c r="F33" s="3" t="s">
        <v>152</v>
      </c>
      <c r="G33" s="3" t="s">
        <v>64</v>
      </c>
    </row>
    <row r="34" spans="1:7" ht="18" hidden="1" customHeight="1" x14ac:dyDescent="0.3">
      <c r="A34" s="5" t="s">
        <v>153</v>
      </c>
      <c r="B34" s="4" t="s">
        <v>154</v>
      </c>
      <c r="C34" s="4" t="s">
        <v>29</v>
      </c>
      <c r="D34" s="5" t="s">
        <v>155</v>
      </c>
      <c r="E34" s="4" t="s">
        <v>156</v>
      </c>
      <c r="F34" s="5" t="s">
        <v>157</v>
      </c>
      <c r="G34" s="5"/>
    </row>
    <row r="35" spans="1:7" ht="18" hidden="1" customHeight="1" x14ac:dyDescent="0.3">
      <c r="A35" s="3" t="s">
        <v>158</v>
      </c>
      <c r="B35" s="2" t="s">
        <v>159</v>
      </c>
      <c r="C35" s="2" t="s">
        <v>29</v>
      </c>
      <c r="D35" s="3" t="s">
        <v>160</v>
      </c>
      <c r="E35" s="2" t="s">
        <v>161</v>
      </c>
      <c r="F35" s="3"/>
      <c r="G35" s="3" t="s">
        <v>85</v>
      </c>
    </row>
    <row r="36" spans="1:7" ht="18" hidden="1" customHeight="1" x14ac:dyDescent="0.3">
      <c r="A36" s="5" t="s">
        <v>162</v>
      </c>
      <c r="B36" s="4" t="s">
        <v>163</v>
      </c>
      <c r="C36" s="4" t="s">
        <v>29</v>
      </c>
      <c r="D36" s="5" t="s">
        <v>67</v>
      </c>
      <c r="E36" s="4" t="s">
        <v>164</v>
      </c>
      <c r="F36" s="5"/>
      <c r="G36" s="5" t="s">
        <v>85</v>
      </c>
    </row>
    <row r="37" spans="1:7" ht="18" hidden="1" customHeight="1" x14ac:dyDescent="0.3">
      <c r="A37" s="3" t="s">
        <v>165</v>
      </c>
      <c r="B37" s="2" t="s">
        <v>166</v>
      </c>
      <c r="C37" s="2" t="s">
        <v>29</v>
      </c>
      <c r="D37" s="3" t="s">
        <v>122</v>
      </c>
      <c r="E37" s="2" t="s">
        <v>167</v>
      </c>
      <c r="F37" s="3"/>
      <c r="G37" s="3" t="s">
        <v>168</v>
      </c>
    </row>
    <row r="38" spans="1:7" ht="18" hidden="1" customHeight="1" x14ac:dyDescent="0.3">
      <c r="A38" s="5" t="s">
        <v>169</v>
      </c>
      <c r="B38" s="4" t="s">
        <v>170</v>
      </c>
      <c r="C38" s="4" t="s">
        <v>29</v>
      </c>
      <c r="D38" s="5" t="s">
        <v>122</v>
      </c>
      <c r="E38" s="4" t="s">
        <v>171</v>
      </c>
      <c r="F38" s="5" t="s">
        <v>172</v>
      </c>
      <c r="G38" s="5" t="s">
        <v>98</v>
      </c>
    </row>
    <row r="39" spans="1:7" ht="18" hidden="1" customHeight="1" x14ac:dyDescent="0.3">
      <c r="A39" s="3" t="s">
        <v>173</v>
      </c>
      <c r="B39" s="2" t="s">
        <v>174</v>
      </c>
      <c r="C39" s="2" t="s">
        <v>29</v>
      </c>
      <c r="D39" s="3"/>
      <c r="E39" s="2"/>
      <c r="F39" s="3" t="s">
        <v>175</v>
      </c>
      <c r="G39" s="3"/>
    </row>
    <row r="40" spans="1:7" ht="18" hidden="1" customHeight="1" x14ac:dyDescent="0.3">
      <c r="A40" s="5" t="s">
        <v>176</v>
      </c>
      <c r="B40" s="4" t="s">
        <v>177</v>
      </c>
      <c r="C40" s="4" t="s">
        <v>29</v>
      </c>
      <c r="D40" s="5" t="s">
        <v>122</v>
      </c>
      <c r="E40" s="4" t="s">
        <v>178</v>
      </c>
      <c r="F40" s="5"/>
      <c r="G40" s="5" t="s">
        <v>108</v>
      </c>
    </row>
    <row r="41" spans="1:7" ht="18" hidden="1" customHeight="1" x14ac:dyDescent="0.3">
      <c r="A41" s="3" t="s">
        <v>179</v>
      </c>
      <c r="B41" s="2" t="s">
        <v>180</v>
      </c>
      <c r="C41" s="2" t="s">
        <v>29</v>
      </c>
      <c r="D41" s="3" t="s">
        <v>40</v>
      </c>
      <c r="E41" s="2" t="s">
        <v>181</v>
      </c>
      <c r="F41" s="3"/>
      <c r="G41" s="3" t="s">
        <v>37</v>
      </c>
    </row>
    <row r="42" spans="1:7" ht="18" hidden="1" customHeight="1" x14ac:dyDescent="0.3">
      <c r="A42" s="5" t="s">
        <v>182</v>
      </c>
      <c r="B42" s="4" t="s">
        <v>183</v>
      </c>
      <c r="C42" s="4" t="s">
        <v>29</v>
      </c>
      <c r="D42" s="5" t="s">
        <v>122</v>
      </c>
      <c r="E42" s="4" t="s">
        <v>184</v>
      </c>
      <c r="F42" s="5"/>
      <c r="G42" s="5" t="s">
        <v>37</v>
      </c>
    </row>
    <row r="43" spans="1:7" ht="18" hidden="1" customHeight="1" x14ac:dyDescent="0.3">
      <c r="A43" s="3" t="s">
        <v>185</v>
      </c>
      <c r="B43" s="2" t="s">
        <v>186</v>
      </c>
      <c r="C43" s="2" t="s">
        <v>29</v>
      </c>
      <c r="D43" s="3" t="s">
        <v>101</v>
      </c>
      <c r="E43" s="2" t="s">
        <v>102</v>
      </c>
      <c r="F43" s="3" t="s">
        <v>187</v>
      </c>
      <c r="G43" s="3" t="s">
        <v>98</v>
      </c>
    </row>
    <row r="44" spans="1:7" ht="18" hidden="1" customHeight="1" x14ac:dyDescent="0.3">
      <c r="A44" s="5" t="s">
        <v>188</v>
      </c>
      <c r="B44" s="4" t="s">
        <v>189</v>
      </c>
      <c r="C44" s="4" t="s">
        <v>29</v>
      </c>
      <c r="D44" s="5" t="s">
        <v>130</v>
      </c>
      <c r="E44" s="4" t="s">
        <v>190</v>
      </c>
      <c r="F44" s="5" t="s">
        <v>191</v>
      </c>
      <c r="G44" s="5" t="s">
        <v>119</v>
      </c>
    </row>
    <row r="45" spans="1:7" ht="18" hidden="1" customHeight="1" x14ac:dyDescent="0.3">
      <c r="A45" s="3" t="s">
        <v>165</v>
      </c>
      <c r="B45" s="2" t="s">
        <v>192</v>
      </c>
      <c r="C45" s="2" t="s">
        <v>29</v>
      </c>
      <c r="D45" s="3" t="s">
        <v>122</v>
      </c>
      <c r="E45" s="2" t="s">
        <v>167</v>
      </c>
      <c r="F45" s="3" t="s">
        <v>191</v>
      </c>
      <c r="G45" s="3" t="s">
        <v>168</v>
      </c>
    </row>
    <row r="46" spans="1:7" ht="18" hidden="1" customHeight="1" x14ac:dyDescent="0.3">
      <c r="A46" s="5" t="s">
        <v>193</v>
      </c>
      <c r="B46" s="4" t="s">
        <v>194</v>
      </c>
      <c r="C46" s="4" t="s">
        <v>29</v>
      </c>
      <c r="D46" s="5"/>
      <c r="E46" s="4"/>
      <c r="F46" s="5" t="s">
        <v>195</v>
      </c>
      <c r="G46" s="5"/>
    </row>
    <row r="47" spans="1:7" ht="18" hidden="1" customHeight="1" x14ac:dyDescent="0.3">
      <c r="A47" s="3" t="s">
        <v>196</v>
      </c>
      <c r="B47" s="2" t="s">
        <v>197</v>
      </c>
      <c r="C47" s="2" t="s">
        <v>29</v>
      </c>
      <c r="D47" s="3"/>
      <c r="E47" s="2"/>
      <c r="F47" s="3" t="s">
        <v>195</v>
      </c>
      <c r="G47" s="3"/>
    </row>
    <row r="48" spans="1:7" ht="18" hidden="1" customHeight="1" x14ac:dyDescent="0.3">
      <c r="A48" s="5" t="s">
        <v>198</v>
      </c>
      <c r="B48" s="4" t="s">
        <v>199</v>
      </c>
      <c r="C48" s="4" t="s">
        <v>29</v>
      </c>
      <c r="D48" s="5" t="s">
        <v>30</v>
      </c>
      <c r="E48" s="4" t="s">
        <v>200</v>
      </c>
      <c r="F48" s="5" t="s">
        <v>201</v>
      </c>
      <c r="G48" s="5" t="s">
        <v>37</v>
      </c>
    </row>
    <row r="49" spans="1:7" ht="18" hidden="1" customHeight="1" x14ac:dyDescent="0.3">
      <c r="A49" s="3" t="s">
        <v>202</v>
      </c>
      <c r="B49" s="2" t="s">
        <v>203</v>
      </c>
      <c r="C49" s="2" t="s">
        <v>29</v>
      </c>
      <c r="D49" s="3"/>
      <c r="E49" s="2"/>
      <c r="F49" s="3" t="s">
        <v>195</v>
      </c>
      <c r="G49" s="3"/>
    </row>
    <row r="50" spans="1:7" ht="18" hidden="1" customHeight="1" x14ac:dyDescent="0.3">
      <c r="A50" s="5" t="s">
        <v>204</v>
      </c>
      <c r="B50" s="4" t="s">
        <v>205</v>
      </c>
      <c r="C50" s="4" t="s">
        <v>29</v>
      </c>
      <c r="D50" s="5"/>
      <c r="E50" s="4"/>
      <c r="F50" s="5" t="s">
        <v>206</v>
      </c>
      <c r="G50" s="5"/>
    </row>
    <row r="51" spans="1:7" ht="18" hidden="1" customHeight="1" x14ac:dyDescent="0.3">
      <c r="A51" s="3" t="s">
        <v>204</v>
      </c>
      <c r="B51" s="2" t="s">
        <v>207</v>
      </c>
      <c r="C51" s="2" t="s">
        <v>29</v>
      </c>
      <c r="D51" s="3"/>
      <c r="E51" s="2"/>
      <c r="F51" s="3" t="s">
        <v>208</v>
      </c>
      <c r="G51" s="3"/>
    </row>
    <row r="52" spans="1:7" ht="18" hidden="1" customHeight="1" x14ac:dyDescent="0.3">
      <c r="A52" s="5" t="s">
        <v>209</v>
      </c>
      <c r="B52" s="4" t="s">
        <v>210</v>
      </c>
      <c r="C52" s="4" t="s">
        <v>29</v>
      </c>
      <c r="D52" s="5"/>
      <c r="E52" s="4"/>
      <c r="F52" s="5" t="s">
        <v>211</v>
      </c>
      <c r="G52" s="5"/>
    </row>
    <row r="53" spans="1:7" ht="18" hidden="1" customHeight="1" x14ac:dyDescent="0.3">
      <c r="A53" s="3" t="s">
        <v>212</v>
      </c>
      <c r="B53" s="2" t="s">
        <v>213</v>
      </c>
      <c r="C53" s="2" t="s">
        <v>29</v>
      </c>
      <c r="D53" s="3"/>
      <c r="E53" s="2"/>
      <c r="F53" s="3" t="s">
        <v>214</v>
      </c>
      <c r="G53" s="3" t="s">
        <v>215</v>
      </c>
    </row>
    <row r="54" spans="1:7" ht="18" hidden="1" customHeight="1" x14ac:dyDescent="0.3">
      <c r="A54" s="5" t="s">
        <v>216</v>
      </c>
      <c r="B54" s="4" t="s">
        <v>217</v>
      </c>
      <c r="C54" s="4"/>
      <c r="D54" s="5"/>
      <c r="E54" s="4"/>
      <c r="F54" s="5" t="s">
        <v>218</v>
      </c>
      <c r="G54" s="5"/>
    </row>
    <row r="55" spans="1:7" ht="18" hidden="1" customHeight="1" x14ac:dyDescent="0.3">
      <c r="A55" s="3" t="s">
        <v>219</v>
      </c>
      <c r="B55" s="2" t="s">
        <v>220</v>
      </c>
      <c r="C55" s="2"/>
      <c r="D55" s="3" t="s">
        <v>221</v>
      </c>
      <c r="E55" s="2"/>
      <c r="F55" s="3"/>
      <c r="G55" s="3" t="s">
        <v>127</v>
      </c>
    </row>
    <row r="56" spans="1:7" ht="18" hidden="1" customHeight="1" x14ac:dyDescent="0.3">
      <c r="A56" s="5" t="s">
        <v>222</v>
      </c>
      <c r="B56" s="4" t="s">
        <v>223</v>
      </c>
      <c r="C56" s="4"/>
      <c r="D56" s="5" t="s">
        <v>44</v>
      </c>
      <c r="E56" s="4" t="s">
        <v>224</v>
      </c>
      <c r="F56" s="5"/>
      <c r="G56" s="5"/>
    </row>
    <row r="57" spans="1:7" ht="18" hidden="1" customHeight="1" x14ac:dyDescent="0.3">
      <c r="A57" s="3" t="s">
        <v>225</v>
      </c>
      <c r="B57" s="2" t="s">
        <v>226</v>
      </c>
      <c r="C57" s="2" t="s">
        <v>29</v>
      </c>
      <c r="D57" s="3" t="s">
        <v>227</v>
      </c>
      <c r="E57" s="2" t="s">
        <v>228</v>
      </c>
      <c r="F57" s="3"/>
      <c r="G57" s="3" t="s">
        <v>229</v>
      </c>
    </row>
    <row r="58" spans="1:7" ht="18" hidden="1" customHeight="1" x14ac:dyDescent="0.3">
      <c r="A58" s="5" t="s">
        <v>230</v>
      </c>
      <c r="B58" s="4" t="s">
        <v>231</v>
      </c>
      <c r="C58" s="4" t="s">
        <v>232</v>
      </c>
      <c r="D58" s="5" t="s">
        <v>44</v>
      </c>
      <c r="E58" s="4" t="s">
        <v>233</v>
      </c>
      <c r="F58" s="5"/>
      <c r="G58" s="5" t="s">
        <v>85</v>
      </c>
    </row>
    <row r="59" spans="1:7" ht="18" hidden="1" customHeight="1" x14ac:dyDescent="0.3">
      <c r="A59" s="3" t="s">
        <v>234</v>
      </c>
      <c r="B59" s="2"/>
      <c r="C59" s="2" t="s">
        <v>232</v>
      </c>
      <c r="D59" s="3" t="s">
        <v>235</v>
      </c>
      <c r="E59" s="2" t="s">
        <v>236</v>
      </c>
      <c r="F59" s="3" t="s">
        <v>237</v>
      </c>
      <c r="G59" s="3" t="s">
        <v>37</v>
      </c>
    </row>
    <row r="60" spans="1:7" ht="18" hidden="1" customHeight="1" x14ac:dyDescent="0.3">
      <c r="A60" s="5" t="s">
        <v>238</v>
      </c>
      <c r="B60" s="4" t="s">
        <v>239</v>
      </c>
      <c r="C60" s="4" t="s">
        <v>232</v>
      </c>
      <c r="D60" s="5"/>
      <c r="E60" s="4"/>
      <c r="F60" s="5"/>
      <c r="G60" s="5"/>
    </row>
    <row r="61" spans="1:7" ht="18" hidden="1" customHeight="1" x14ac:dyDescent="0.3">
      <c r="A61" s="3" t="s">
        <v>240</v>
      </c>
      <c r="B61" s="2"/>
      <c r="C61" s="2"/>
      <c r="D61" s="3" t="s">
        <v>241</v>
      </c>
      <c r="E61" s="2" t="s">
        <v>242</v>
      </c>
      <c r="F61" s="3"/>
      <c r="G61" s="3"/>
    </row>
  </sheetData>
  <autoFilter ref="A2:G61" xr:uid="{00000000-0001-0000-0100-000000000000}">
    <filterColumn colId="0">
      <filters>
        <filter val="Patricia Bustos"/>
        <filter val="Patricio Castillo"/>
      </filters>
    </filterColumn>
  </autoFilter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C0272D"/>
  </sheetPr>
  <dimension ref="A1:O112"/>
  <sheetViews>
    <sheetView showGridLines="0" workbookViewId="0">
      <selection activeCell="I124" sqref="I124"/>
    </sheetView>
  </sheetViews>
  <sheetFormatPr baseColWidth="10" defaultColWidth="8.88671875" defaultRowHeight="14.4" x14ac:dyDescent="0.3"/>
  <cols>
    <col min="1" max="1" width="13" customWidth="1"/>
    <col min="2" max="2" width="24" customWidth="1"/>
    <col min="3" max="3" width="14" customWidth="1"/>
    <col min="4" max="4" width="12" customWidth="1"/>
    <col min="5" max="5" width="24" customWidth="1"/>
    <col min="6" max="6" width="18" customWidth="1"/>
    <col min="7" max="7" width="10" customWidth="1"/>
    <col min="8" max="8" width="22" customWidth="1"/>
    <col min="9" max="9" width="18" customWidth="1"/>
    <col min="10" max="10" width="13" customWidth="1"/>
    <col min="11" max="12" width="10" customWidth="1"/>
    <col min="13" max="13" width="20" customWidth="1"/>
    <col min="14" max="14" width="18" customWidth="1"/>
    <col min="15" max="15" width="22" customWidth="1"/>
  </cols>
  <sheetData>
    <row r="1" spans="1:15" ht="36" customHeight="1" x14ac:dyDescent="0.3">
      <c r="A1" s="17" t="s">
        <v>243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0" customHeight="1" x14ac:dyDescent="0.3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244</v>
      </c>
      <c r="K2" s="6" t="s">
        <v>14</v>
      </c>
      <c r="L2" s="6" t="s">
        <v>15</v>
      </c>
      <c r="M2" s="6" t="s">
        <v>16</v>
      </c>
      <c r="N2" s="6" t="s">
        <v>245</v>
      </c>
      <c r="O2" s="6" t="s">
        <v>18</v>
      </c>
    </row>
    <row r="3" spans="1:15" ht="18" hidden="1" customHeight="1" x14ac:dyDescent="0.3">
      <c r="A3" s="2" t="s">
        <v>246</v>
      </c>
      <c r="B3" s="3" t="s">
        <v>247</v>
      </c>
      <c r="C3" s="2" t="s">
        <v>248</v>
      </c>
      <c r="D3" s="2" t="s">
        <v>249</v>
      </c>
      <c r="E3" s="3" t="s">
        <v>250</v>
      </c>
      <c r="F3" s="3" t="s">
        <v>251</v>
      </c>
      <c r="G3" s="2" t="s">
        <v>252</v>
      </c>
      <c r="H3" s="3" t="s">
        <v>253</v>
      </c>
      <c r="I3" s="3" t="s">
        <v>254</v>
      </c>
      <c r="J3" s="7" t="s">
        <v>255</v>
      </c>
      <c r="K3" s="7" t="s">
        <v>255</v>
      </c>
      <c r="L3" s="7" t="s">
        <v>255</v>
      </c>
      <c r="M3" s="3" t="s">
        <v>112</v>
      </c>
      <c r="N3" s="3" t="s">
        <v>74</v>
      </c>
      <c r="O3" s="3"/>
    </row>
    <row r="4" spans="1:15" ht="18" hidden="1" customHeight="1" x14ac:dyDescent="0.3">
      <c r="A4" s="4" t="s">
        <v>256</v>
      </c>
      <c r="B4" s="5" t="s">
        <v>257</v>
      </c>
      <c r="C4" s="4" t="s">
        <v>258</v>
      </c>
      <c r="D4" s="4" t="s">
        <v>249</v>
      </c>
      <c r="E4" s="5" t="s">
        <v>250</v>
      </c>
      <c r="F4" s="5" t="s">
        <v>259</v>
      </c>
      <c r="G4" s="4" t="s">
        <v>260</v>
      </c>
      <c r="H4" s="5" t="s">
        <v>261</v>
      </c>
      <c r="I4" s="5" t="s">
        <v>262</v>
      </c>
      <c r="J4" s="8" t="s">
        <v>255</v>
      </c>
      <c r="K4" s="8" t="s">
        <v>255</v>
      </c>
      <c r="L4" s="8" t="s">
        <v>255</v>
      </c>
      <c r="M4" s="5" t="s">
        <v>219</v>
      </c>
      <c r="N4" s="5" t="s">
        <v>74</v>
      </c>
      <c r="O4" s="5" t="s">
        <v>263</v>
      </c>
    </row>
    <row r="5" spans="1:15" ht="18" hidden="1" customHeight="1" x14ac:dyDescent="0.3">
      <c r="A5" s="2" t="s">
        <v>264</v>
      </c>
      <c r="B5" s="3" t="s">
        <v>265</v>
      </c>
      <c r="C5" s="2" t="s">
        <v>266</v>
      </c>
      <c r="D5" s="2" t="s">
        <v>249</v>
      </c>
      <c r="E5" s="3" t="s">
        <v>267</v>
      </c>
      <c r="F5" s="3" t="s">
        <v>268</v>
      </c>
      <c r="G5" s="2" t="s">
        <v>260</v>
      </c>
      <c r="H5" s="3" t="s">
        <v>261</v>
      </c>
      <c r="I5" s="3" t="s">
        <v>269</v>
      </c>
      <c r="J5" s="7" t="s">
        <v>255</v>
      </c>
      <c r="K5" s="9" t="s">
        <v>270</v>
      </c>
      <c r="L5" s="7" t="s">
        <v>255</v>
      </c>
      <c r="M5" s="3" t="s">
        <v>219</v>
      </c>
      <c r="N5" s="3" t="s">
        <v>109</v>
      </c>
      <c r="O5" s="3"/>
    </row>
    <row r="6" spans="1:15" ht="18" hidden="1" customHeight="1" x14ac:dyDescent="0.3">
      <c r="A6" s="4" t="s">
        <v>271</v>
      </c>
      <c r="B6" s="5" t="s">
        <v>272</v>
      </c>
      <c r="C6" s="4" t="s">
        <v>273</v>
      </c>
      <c r="D6" s="4" t="s">
        <v>249</v>
      </c>
      <c r="E6" s="5" t="s">
        <v>250</v>
      </c>
      <c r="F6" s="5" t="s">
        <v>274</v>
      </c>
      <c r="G6" s="4" t="s">
        <v>260</v>
      </c>
      <c r="H6" s="5" t="s">
        <v>275</v>
      </c>
      <c r="I6" s="5" t="s">
        <v>276</v>
      </c>
      <c r="J6" s="8" t="s">
        <v>255</v>
      </c>
      <c r="K6" s="8" t="s">
        <v>255</v>
      </c>
      <c r="L6" s="8" t="s">
        <v>255</v>
      </c>
      <c r="M6" s="5" t="s">
        <v>219</v>
      </c>
      <c r="N6" s="5" t="s">
        <v>74</v>
      </c>
      <c r="O6" s="5"/>
    </row>
    <row r="7" spans="1:15" ht="18" hidden="1" customHeight="1" x14ac:dyDescent="0.3">
      <c r="A7" s="2" t="s">
        <v>277</v>
      </c>
      <c r="B7" s="3" t="s">
        <v>278</v>
      </c>
      <c r="C7" s="2" t="s">
        <v>279</v>
      </c>
      <c r="D7" s="2" t="s">
        <v>249</v>
      </c>
      <c r="E7" s="3" t="s">
        <v>280</v>
      </c>
      <c r="F7" s="3" t="s">
        <v>268</v>
      </c>
      <c r="G7" s="2" t="s">
        <v>260</v>
      </c>
      <c r="H7" s="3" t="s">
        <v>275</v>
      </c>
      <c r="I7" s="3" t="s">
        <v>281</v>
      </c>
      <c r="J7" s="7" t="s">
        <v>255</v>
      </c>
      <c r="K7" s="9" t="s">
        <v>270</v>
      </c>
      <c r="L7" s="7" t="s">
        <v>255</v>
      </c>
      <c r="M7" s="3" t="s">
        <v>219</v>
      </c>
      <c r="N7" s="3" t="s">
        <v>282</v>
      </c>
      <c r="O7" s="3"/>
    </row>
    <row r="8" spans="1:15" ht="18" hidden="1" customHeight="1" x14ac:dyDescent="0.3">
      <c r="A8" s="4" t="s">
        <v>283</v>
      </c>
      <c r="B8" s="5" t="s">
        <v>284</v>
      </c>
      <c r="C8" s="4" t="s">
        <v>285</v>
      </c>
      <c r="D8" s="4" t="s">
        <v>249</v>
      </c>
      <c r="E8" s="5" t="s">
        <v>250</v>
      </c>
      <c r="F8" s="5" t="s">
        <v>286</v>
      </c>
      <c r="G8" s="4" t="s">
        <v>260</v>
      </c>
      <c r="H8" s="5" t="s">
        <v>287</v>
      </c>
      <c r="I8" s="5" t="s">
        <v>288</v>
      </c>
      <c r="J8" s="8" t="s">
        <v>255</v>
      </c>
      <c r="K8" s="10" t="s">
        <v>270</v>
      </c>
      <c r="L8" s="8" t="s">
        <v>255</v>
      </c>
      <c r="M8" s="5" t="s">
        <v>219</v>
      </c>
      <c r="N8" s="5" t="s">
        <v>74</v>
      </c>
      <c r="O8" s="5"/>
    </row>
    <row r="9" spans="1:15" ht="18" hidden="1" customHeight="1" x14ac:dyDescent="0.3">
      <c r="A9" s="2" t="s">
        <v>289</v>
      </c>
      <c r="B9" s="3" t="s">
        <v>162</v>
      </c>
      <c r="C9" s="2" t="s">
        <v>290</v>
      </c>
      <c r="D9" s="2" t="s">
        <v>249</v>
      </c>
      <c r="E9" s="3" t="s">
        <v>85</v>
      </c>
      <c r="F9" s="3" t="s">
        <v>268</v>
      </c>
      <c r="G9" s="2" t="s">
        <v>260</v>
      </c>
      <c r="H9" s="3" t="s">
        <v>291</v>
      </c>
      <c r="I9" s="3" t="s">
        <v>292</v>
      </c>
      <c r="J9" s="7" t="s">
        <v>255</v>
      </c>
      <c r="K9" s="9" t="s">
        <v>270</v>
      </c>
      <c r="L9" s="7" t="s">
        <v>255</v>
      </c>
      <c r="M9" s="3" t="s">
        <v>219</v>
      </c>
      <c r="N9" s="3" t="s">
        <v>219</v>
      </c>
      <c r="O9" s="3"/>
    </row>
    <row r="10" spans="1:15" ht="18" hidden="1" customHeight="1" x14ac:dyDescent="0.3">
      <c r="A10" s="4" t="s">
        <v>293</v>
      </c>
      <c r="B10" s="5" t="s">
        <v>294</v>
      </c>
      <c r="C10" s="4" t="s">
        <v>295</v>
      </c>
      <c r="D10" s="4" t="s">
        <v>249</v>
      </c>
      <c r="E10" s="5" t="s">
        <v>250</v>
      </c>
      <c r="F10" s="5" t="s">
        <v>296</v>
      </c>
      <c r="G10" s="4" t="s">
        <v>260</v>
      </c>
      <c r="H10" s="5" t="s">
        <v>291</v>
      </c>
      <c r="I10" s="5" t="s">
        <v>297</v>
      </c>
      <c r="J10" s="8" t="s">
        <v>255</v>
      </c>
      <c r="K10" s="10" t="s">
        <v>270</v>
      </c>
      <c r="L10" s="8" t="s">
        <v>255</v>
      </c>
      <c r="M10" s="5" t="s">
        <v>219</v>
      </c>
      <c r="N10" s="5" t="s">
        <v>298</v>
      </c>
      <c r="O10" s="5"/>
    </row>
    <row r="11" spans="1:15" ht="18" hidden="1" customHeight="1" x14ac:dyDescent="0.3">
      <c r="A11" s="2" t="s">
        <v>299</v>
      </c>
      <c r="B11" s="3" t="s">
        <v>300</v>
      </c>
      <c r="C11" s="2" t="s">
        <v>301</v>
      </c>
      <c r="D11" s="2" t="s">
        <v>249</v>
      </c>
      <c r="E11" s="3" t="s">
        <v>267</v>
      </c>
      <c r="F11" s="3" t="s">
        <v>268</v>
      </c>
      <c r="G11" s="2" t="s">
        <v>302</v>
      </c>
      <c r="H11" s="3" t="s">
        <v>303</v>
      </c>
      <c r="I11" s="3" t="s">
        <v>304</v>
      </c>
      <c r="J11" s="7" t="s">
        <v>255</v>
      </c>
      <c r="K11" s="9" t="s">
        <v>270</v>
      </c>
      <c r="L11" s="7" t="s">
        <v>255</v>
      </c>
      <c r="M11" s="3" t="s">
        <v>219</v>
      </c>
      <c r="N11" s="3" t="s">
        <v>109</v>
      </c>
      <c r="O11" s="3"/>
    </row>
    <row r="12" spans="1:15" ht="18" hidden="1" customHeight="1" x14ac:dyDescent="0.3">
      <c r="A12" s="4" t="s">
        <v>305</v>
      </c>
      <c r="B12" s="5" t="s">
        <v>306</v>
      </c>
      <c r="C12" s="4" t="s">
        <v>307</v>
      </c>
      <c r="D12" s="4" t="s">
        <v>249</v>
      </c>
      <c r="E12" s="5" t="s">
        <v>250</v>
      </c>
      <c r="F12" s="5" t="s">
        <v>268</v>
      </c>
      <c r="G12" s="4" t="s">
        <v>260</v>
      </c>
      <c r="H12" s="5" t="s">
        <v>308</v>
      </c>
      <c r="I12" s="5" t="s">
        <v>309</v>
      </c>
      <c r="J12" s="8" t="s">
        <v>255</v>
      </c>
      <c r="K12" s="10" t="s">
        <v>270</v>
      </c>
      <c r="L12" s="8" t="s">
        <v>255</v>
      </c>
      <c r="M12" s="5" t="s">
        <v>219</v>
      </c>
      <c r="N12" s="5" t="s">
        <v>74</v>
      </c>
      <c r="O12" s="5"/>
    </row>
    <row r="13" spans="1:15" ht="18" hidden="1" customHeight="1" x14ac:dyDescent="0.3">
      <c r="A13" s="2" t="s">
        <v>310</v>
      </c>
      <c r="B13" s="3" t="s">
        <v>27</v>
      </c>
      <c r="C13" s="2" t="s">
        <v>311</v>
      </c>
      <c r="D13" s="2" t="s">
        <v>249</v>
      </c>
      <c r="E13" s="3" t="s">
        <v>280</v>
      </c>
      <c r="F13" s="3" t="s">
        <v>268</v>
      </c>
      <c r="G13" s="2" t="s">
        <v>312</v>
      </c>
      <c r="H13" s="3" t="s">
        <v>313</v>
      </c>
      <c r="I13" s="3" t="s">
        <v>314</v>
      </c>
      <c r="J13" s="7" t="s">
        <v>255</v>
      </c>
      <c r="K13" s="9" t="s">
        <v>270</v>
      </c>
      <c r="L13" s="7" t="s">
        <v>255</v>
      </c>
      <c r="M13" s="3" t="s">
        <v>219</v>
      </c>
      <c r="N13" s="3" t="s">
        <v>128</v>
      </c>
      <c r="O13" s="3" t="s">
        <v>315</v>
      </c>
    </row>
    <row r="14" spans="1:15" ht="18" hidden="1" customHeight="1" x14ac:dyDescent="0.3">
      <c r="A14" s="4" t="s">
        <v>316</v>
      </c>
      <c r="B14" s="5" t="s">
        <v>317</v>
      </c>
      <c r="C14" s="4" t="s">
        <v>318</v>
      </c>
      <c r="D14" s="4" t="s">
        <v>249</v>
      </c>
      <c r="E14" s="5" t="s">
        <v>250</v>
      </c>
      <c r="F14" s="5" t="s">
        <v>319</v>
      </c>
      <c r="G14" s="4" t="s">
        <v>252</v>
      </c>
      <c r="H14" s="5" t="s">
        <v>320</v>
      </c>
      <c r="I14" s="5" t="s">
        <v>321</v>
      </c>
      <c r="J14" s="8" t="s">
        <v>255</v>
      </c>
      <c r="K14" s="8" t="s">
        <v>255</v>
      </c>
      <c r="L14" s="8" t="s">
        <v>255</v>
      </c>
      <c r="M14" s="5" t="s">
        <v>219</v>
      </c>
      <c r="N14" s="5" t="s">
        <v>74</v>
      </c>
      <c r="O14" s="5"/>
    </row>
    <row r="15" spans="1:15" ht="18" hidden="1" customHeight="1" x14ac:dyDescent="0.3">
      <c r="A15" s="2" t="s">
        <v>322</v>
      </c>
      <c r="B15" s="3" t="s">
        <v>323</v>
      </c>
      <c r="C15" s="2" t="s">
        <v>324</v>
      </c>
      <c r="D15" s="2" t="s">
        <v>249</v>
      </c>
      <c r="E15" s="3" t="s">
        <v>73</v>
      </c>
      <c r="F15" s="3" t="s">
        <v>268</v>
      </c>
      <c r="G15" s="2" t="s">
        <v>312</v>
      </c>
      <c r="H15" s="3" t="s">
        <v>325</v>
      </c>
      <c r="I15" s="3" t="s">
        <v>326</v>
      </c>
      <c r="J15" s="7" t="s">
        <v>255</v>
      </c>
      <c r="K15" s="9" t="s">
        <v>270</v>
      </c>
      <c r="L15" s="7" t="s">
        <v>255</v>
      </c>
      <c r="M15" s="3" t="s">
        <v>219</v>
      </c>
      <c r="N15" s="3" t="s">
        <v>219</v>
      </c>
      <c r="O15" s="3" t="s">
        <v>327</v>
      </c>
    </row>
    <row r="16" spans="1:15" ht="18" hidden="1" customHeight="1" x14ac:dyDescent="0.3">
      <c r="A16" s="4" t="s">
        <v>328</v>
      </c>
      <c r="B16" s="5" t="s">
        <v>33</v>
      </c>
      <c r="C16" s="4" t="s">
        <v>324</v>
      </c>
      <c r="D16" s="4" t="s">
        <v>249</v>
      </c>
      <c r="E16" s="5" t="s">
        <v>37</v>
      </c>
      <c r="F16" s="5" t="s">
        <v>268</v>
      </c>
      <c r="G16" s="4" t="s">
        <v>312</v>
      </c>
      <c r="H16" s="5" t="s">
        <v>325</v>
      </c>
      <c r="I16" s="5" t="s">
        <v>326</v>
      </c>
      <c r="J16" s="8" t="s">
        <v>255</v>
      </c>
      <c r="K16" s="10" t="s">
        <v>270</v>
      </c>
      <c r="L16" s="8" t="s">
        <v>255</v>
      </c>
      <c r="M16" s="5" t="s">
        <v>219</v>
      </c>
      <c r="N16" s="5" t="s">
        <v>219</v>
      </c>
      <c r="O16" s="5" t="s">
        <v>329</v>
      </c>
    </row>
    <row r="17" spans="1:15" ht="18" hidden="1" customHeight="1" x14ac:dyDescent="0.3">
      <c r="A17" s="2" t="s">
        <v>330</v>
      </c>
      <c r="B17" s="3" t="s">
        <v>179</v>
      </c>
      <c r="C17" s="2" t="s">
        <v>331</v>
      </c>
      <c r="D17" s="2" t="s">
        <v>249</v>
      </c>
      <c r="E17" s="3" t="s">
        <v>37</v>
      </c>
      <c r="F17" s="3" t="s">
        <v>268</v>
      </c>
      <c r="G17" s="2" t="s">
        <v>252</v>
      </c>
      <c r="H17" s="3" t="s">
        <v>320</v>
      </c>
      <c r="I17" s="3" t="s">
        <v>332</v>
      </c>
      <c r="J17" s="7" t="s">
        <v>255</v>
      </c>
      <c r="K17" s="9" t="s">
        <v>270</v>
      </c>
      <c r="L17" s="7" t="s">
        <v>255</v>
      </c>
      <c r="M17" s="3" t="s">
        <v>219</v>
      </c>
      <c r="N17" s="3" t="s">
        <v>219</v>
      </c>
      <c r="O17" s="3"/>
    </row>
    <row r="18" spans="1:15" ht="18" hidden="1" customHeight="1" x14ac:dyDescent="0.3">
      <c r="A18" s="4" t="s">
        <v>333</v>
      </c>
      <c r="B18" s="5" t="s">
        <v>334</v>
      </c>
      <c r="C18" s="4" t="s">
        <v>335</v>
      </c>
      <c r="D18" s="4" t="s">
        <v>336</v>
      </c>
      <c r="E18" s="5" t="s">
        <v>37</v>
      </c>
      <c r="F18" s="5" t="s">
        <v>268</v>
      </c>
      <c r="G18" s="4" t="s">
        <v>312</v>
      </c>
      <c r="H18" s="5" t="s">
        <v>337</v>
      </c>
      <c r="I18" s="5" t="s">
        <v>338</v>
      </c>
      <c r="J18" s="8" t="s">
        <v>255</v>
      </c>
      <c r="K18" s="8" t="s">
        <v>255</v>
      </c>
      <c r="L18" s="8" t="s">
        <v>255</v>
      </c>
      <c r="M18" s="5" t="s">
        <v>219</v>
      </c>
      <c r="N18" s="5" t="s">
        <v>219</v>
      </c>
      <c r="O18" s="5"/>
    </row>
    <row r="19" spans="1:15" ht="18" hidden="1" customHeight="1" x14ac:dyDescent="0.3">
      <c r="A19" s="2" t="s">
        <v>339</v>
      </c>
      <c r="B19" s="3" t="s">
        <v>340</v>
      </c>
      <c r="C19" s="2" t="s">
        <v>341</v>
      </c>
      <c r="D19" s="2" t="s">
        <v>249</v>
      </c>
      <c r="E19" s="3" t="s">
        <v>37</v>
      </c>
      <c r="F19" s="3" t="s">
        <v>268</v>
      </c>
      <c r="G19" s="2" t="s">
        <v>252</v>
      </c>
      <c r="H19" s="3" t="s">
        <v>342</v>
      </c>
      <c r="I19" s="3" t="s">
        <v>343</v>
      </c>
      <c r="J19" s="7" t="s">
        <v>255</v>
      </c>
      <c r="K19" s="9" t="s">
        <v>270</v>
      </c>
      <c r="L19" s="7" t="s">
        <v>255</v>
      </c>
      <c r="M19" s="3" t="s">
        <v>219</v>
      </c>
      <c r="N19" s="3" t="s">
        <v>219</v>
      </c>
      <c r="O19" s="3"/>
    </row>
    <row r="20" spans="1:15" ht="18" hidden="1" customHeight="1" x14ac:dyDescent="0.3">
      <c r="A20" s="4" t="s">
        <v>344</v>
      </c>
      <c r="B20" s="5" t="s">
        <v>137</v>
      </c>
      <c r="C20" s="4" t="s">
        <v>345</v>
      </c>
      <c r="D20" s="4" t="s">
        <v>249</v>
      </c>
      <c r="E20" s="5" t="s">
        <v>346</v>
      </c>
      <c r="F20" s="5" t="s">
        <v>268</v>
      </c>
      <c r="G20" s="4" t="s">
        <v>252</v>
      </c>
      <c r="H20" s="5" t="s">
        <v>342</v>
      </c>
      <c r="I20" s="5" t="s">
        <v>347</v>
      </c>
      <c r="J20" s="8" t="s">
        <v>255</v>
      </c>
      <c r="K20" s="10" t="s">
        <v>270</v>
      </c>
      <c r="L20" s="8" t="s">
        <v>255</v>
      </c>
      <c r="M20" s="5" t="s">
        <v>219</v>
      </c>
      <c r="N20" s="5" t="s">
        <v>219</v>
      </c>
      <c r="O20" s="5"/>
    </row>
    <row r="21" spans="1:15" ht="18" hidden="1" customHeight="1" x14ac:dyDescent="0.3">
      <c r="A21" s="2" t="s">
        <v>348</v>
      </c>
      <c r="B21" s="3" t="s">
        <v>65</v>
      </c>
      <c r="C21" s="2" t="s">
        <v>349</v>
      </c>
      <c r="D21" s="2" t="s">
        <v>249</v>
      </c>
      <c r="E21" s="3" t="s">
        <v>37</v>
      </c>
      <c r="F21" s="3" t="s">
        <v>268</v>
      </c>
      <c r="G21" s="2" t="s">
        <v>252</v>
      </c>
      <c r="H21" s="3" t="s">
        <v>320</v>
      </c>
      <c r="I21" s="3" t="s">
        <v>350</v>
      </c>
      <c r="J21" s="7" t="s">
        <v>255</v>
      </c>
      <c r="K21" s="9" t="s">
        <v>270</v>
      </c>
      <c r="L21" s="7" t="s">
        <v>255</v>
      </c>
      <c r="M21" s="3" t="s">
        <v>219</v>
      </c>
      <c r="N21" s="3" t="s">
        <v>219</v>
      </c>
      <c r="O21" s="3"/>
    </row>
    <row r="22" spans="1:15" ht="18" hidden="1" customHeight="1" x14ac:dyDescent="0.3">
      <c r="A22" s="4" t="s">
        <v>351</v>
      </c>
      <c r="B22" s="5" t="s">
        <v>51</v>
      </c>
      <c r="C22" s="4" t="s">
        <v>352</v>
      </c>
      <c r="D22" s="4" t="s">
        <v>249</v>
      </c>
      <c r="E22" s="5" t="s">
        <v>250</v>
      </c>
      <c r="F22" s="5" t="s">
        <v>353</v>
      </c>
      <c r="G22" s="4" t="s">
        <v>312</v>
      </c>
      <c r="H22" s="5" t="s">
        <v>354</v>
      </c>
      <c r="I22" s="5" t="s">
        <v>355</v>
      </c>
      <c r="J22" s="8" t="s">
        <v>255</v>
      </c>
      <c r="K22" s="8" t="s">
        <v>255</v>
      </c>
      <c r="L22" s="8" t="s">
        <v>255</v>
      </c>
      <c r="M22" s="5" t="s">
        <v>219</v>
      </c>
      <c r="N22" s="5" t="s">
        <v>74</v>
      </c>
      <c r="O22" s="5"/>
    </row>
    <row r="23" spans="1:15" ht="18" hidden="1" customHeight="1" x14ac:dyDescent="0.3">
      <c r="A23" s="2" t="s">
        <v>348</v>
      </c>
      <c r="B23" s="3" t="s">
        <v>65</v>
      </c>
      <c r="C23" s="2" t="s">
        <v>349</v>
      </c>
      <c r="D23" s="2" t="s">
        <v>249</v>
      </c>
      <c r="E23" s="3" t="s">
        <v>37</v>
      </c>
      <c r="F23" s="3" t="s">
        <v>268</v>
      </c>
      <c r="G23" s="2" t="s">
        <v>312</v>
      </c>
      <c r="H23" s="3" t="s">
        <v>356</v>
      </c>
      <c r="I23" s="3" t="s">
        <v>357</v>
      </c>
      <c r="J23" s="7" t="s">
        <v>255</v>
      </c>
      <c r="K23" s="9" t="s">
        <v>270</v>
      </c>
      <c r="L23" s="7" t="s">
        <v>255</v>
      </c>
      <c r="M23" s="3" t="s">
        <v>219</v>
      </c>
      <c r="N23" s="3" t="s">
        <v>219</v>
      </c>
      <c r="O23" s="3"/>
    </row>
    <row r="24" spans="1:15" ht="18" hidden="1" customHeight="1" x14ac:dyDescent="0.3">
      <c r="A24" s="4" t="s">
        <v>358</v>
      </c>
      <c r="B24" s="5" t="s">
        <v>359</v>
      </c>
      <c r="C24" s="4" t="s">
        <v>360</v>
      </c>
      <c r="D24" s="4" t="s">
        <v>249</v>
      </c>
      <c r="E24" s="5" t="s">
        <v>280</v>
      </c>
      <c r="F24" s="5" t="s">
        <v>268</v>
      </c>
      <c r="G24" s="4" t="s">
        <v>312</v>
      </c>
      <c r="H24" s="5" t="s">
        <v>361</v>
      </c>
      <c r="I24" s="5" t="s">
        <v>362</v>
      </c>
      <c r="J24" s="8" t="s">
        <v>255</v>
      </c>
      <c r="K24" s="10" t="s">
        <v>270</v>
      </c>
      <c r="L24" s="8" t="s">
        <v>255</v>
      </c>
      <c r="M24" s="5" t="s">
        <v>219</v>
      </c>
      <c r="N24" s="5" t="s">
        <v>219</v>
      </c>
      <c r="O24" s="5"/>
    </row>
    <row r="25" spans="1:15" ht="18" hidden="1" customHeight="1" x14ac:dyDescent="0.3">
      <c r="A25" s="2" t="s">
        <v>363</v>
      </c>
      <c r="B25" s="3" t="s">
        <v>70</v>
      </c>
      <c r="C25" s="2" t="s">
        <v>364</v>
      </c>
      <c r="D25" s="2" t="s">
        <v>249</v>
      </c>
      <c r="E25" s="3" t="s">
        <v>250</v>
      </c>
      <c r="F25" s="3" t="s">
        <v>268</v>
      </c>
      <c r="G25" s="2" t="s">
        <v>252</v>
      </c>
      <c r="H25" s="3" t="s">
        <v>365</v>
      </c>
      <c r="I25" s="3" t="s">
        <v>366</v>
      </c>
      <c r="J25" s="7" t="s">
        <v>255</v>
      </c>
      <c r="K25" s="9" t="s">
        <v>270</v>
      </c>
      <c r="L25" s="7" t="s">
        <v>255</v>
      </c>
      <c r="M25" s="3" t="s">
        <v>219</v>
      </c>
      <c r="N25" s="3" t="s">
        <v>219</v>
      </c>
      <c r="O25" s="3"/>
    </row>
    <row r="26" spans="1:15" ht="18" hidden="1" customHeight="1" x14ac:dyDescent="0.3">
      <c r="A26" s="4" t="s">
        <v>367</v>
      </c>
      <c r="B26" s="5" t="s">
        <v>368</v>
      </c>
      <c r="C26" s="4" t="s">
        <v>369</v>
      </c>
      <c r="D26" s="4" t="s">
        <v>249</v>
      </c>
      <c r="E26" s="5" t="s">
        <v>250</v>
      </c>
      <c r="F26" s="5" t="s">
        <v>268</v>
      </c>
      <c r="G26" s="4" t="s">
        <v>252</v>
      </c>
      <c r="H26" s="5" t="s">
        <v>370</v>
      </c>
      <c r="I26" s="5" t="s">
        <v>371</v>
      </c>
      <c r="J26" s="8" t="s">
        <v>255</v>
      </c>
      <c r="K26" s="8" t="s">
        <v>255</v>
      </c>
      <c r="L26" s="8" t="s">
        <v>255</v>
      </c>
      <c r="M26" s="5" t="s">
        <v>219</v>
      </c>
      <c r="N26" s="5" t="s">
        <v>74</v>
      </c>
      <c r="O26" s="5"/>
    </row>
    <row r="27" spans="1:15" ht="18" hidden="1" customHeight="1" x14ac:dyDescent="0.3">
      <c r="A27" s="2" t="s">
        <v>372</v>
      </c>
      <c r="B27" s="3" t="s">
        <v>373</v>
      </c>
      <c r="C27" s="2" t="s">
        <v>369</v>
      </c>
      <c r="D27" s="2" t="s">
        <v>249</v>
      </c>
      <c r="E27" s="3" t="s">
        <v>250</v>
      </c>
      <c r="F27" s="3" t="s">
        <v>374</v>
      </c>
      <c r="G27" s="2" t="s">
        <v>260</v>
      </c>
      <c r="H27" s="3" t="s">
        <v>375</v>
      </c>
      <c r="I27" s="3" t="s">
        <v>376</v>
      </c>
      <c r="J27" s="7" t="s">
        <v>255</v>
      </c>
      <c r="K27" s="7" t="s">
        <v>255</v>
      </c>
      <c r="L27" s="7" t="s">
        <v>255</v>
      </c>
      <c r="M27" s="3" t="s">
        <v>219</v>
      </c>
      <c r="N27" s="3" t="s">
        <v>74</v>
      </c>
      <c r="O27" s="3" t="s">
        <v>377</v>
      </c>
    </row>
    <row r="28" spans="1:15" ht="18" hidden="1" customHeight="1" x14ac:dyDescent="0.3">
      <c r="A28" s="4" t="s">
        <v>378</v>
      </c>
      <c r="B28" s="5" t="s">
        <v>379</v>
      </c>
      <c r="C28" s="4" t="s">
        <v>369</v>
      </c>
      <c r="D28" s="4" t="s">
        <v>249</v>
      </c>
      <c r="E28" s="5" t="s">
        <v>250</v>
      </c>
      <c r="F28" s="5" t="s">
        <v>380</v>
      </c>
      <c r="G28" s="4" t="s">
        <v>260</v>
      </c>
      <c r="H28" s="5" t="s">
        <v>375</v>
      </c>
      <c r="I28" s="5" t="s">
        <v>381</v>
      </c>
      <c r="J28" s="8" t="s">
        <v>255</v>
      </c>
      <c r="K28" s="8" t="s">
        <v>255</v>
      </c>
      <c r="L28" s="8" t="s">
        <v>255</v>
      </c>
      <c r="M28" s="5" t="s">
        <v>219</v>
      </c>
      <c r="N28" s="5" t="s">
        <v>74</v>
      </c>
      <c r="O28" s="5" t="s">
        <v>382</v>
      </c>
    </row>
    <row r="29" spans="1:15" ht="18" hidden="1" customHeight="1" x14ac:dyDescent="0.3">
      <c r="A29" s="2" t="s">
        <v>383</v>
      </c>
      <c r="B29" s="3" t="s">
        <v>384</v>
      </c>
      <c r="C29" s="2" t="s">
        <v>369</v>
      </c>
      <c r="D29" s="2" t="s">
        <v>249</v>
      </c>
      <c r="E29" s="3" t="s">
        <v>250</v>
      </c>
      <c r="F29" s="3" t="s">
        <v>385</v>
      </c>
      <c r="G29" s="2" t="s">
        <v>260</v>
      </c>
      <c r="H29" s="3" t="s">
        <v>375</v>
      </c>
      <c r="I29" s="3" t="s">
        <v>386</v>
      </c>
      <c r="J29" s="7" t="s">
        <v>255</v>
      </c>
      <c r="K29" s="7" t="s">
        <v>255</v>
      </c>
      <c r="L29" s="7" t="s">
        <v>255</v>
      </c>
      <c r="M29" s="3" t="s">
        <v>219</v>
      </c>
      <c r="N29" s="3" t="s">
        <v>74</v>
      </c>
      <c r="O29" s="3" t="s">
        <v>382</v>
      </c>
    </row>
    <row r="30" spans="1:15" ht="18" hidden="1" customHeight="1" x14ac:dyDescent="0.3">
      <c r="A30" s="4" t="s">
        <v>387</v>
      </c>
      <c r="B30" s="5" t="s">
        <v>388</v>
      </c>
      <c r="C30" s="4" t="s">
        <v>369</v>
      </c>
      <c r="D30" s="4" t="s">
        <v>249</v>
      </c>
      <c r="E30" s="5" t="s">
        <v>250</v>
      </c>
      <c r="F30" s="5" t="s">
        <v>268</v>
      </c>
      <c r="G30" s="4" t="s">
        <v>260</v>
      </c>
      <c r="H30" s="5" t="s">
        <v>375</v>
      </c>
      <c r="I30" s="5" t="s">
        <v>389</v>
      </c>
      <c r="J30" s="8" t="s">
        <v>255</v>
      </c>
      <c r="K30" s="8" t="s">
        <v>255</v>
      </c>
      <c r="L30" s="8" t="s">
        <v>255</v>
      </c>
      <c r="M30" s="5" t="s">
        <v>219</v>
      </c>
      <c r="N30" s="5" t="s">
        <v>74</v>
      </c>
      <c r="O30" s="5" t="s">
        <v>382</v>
      </c>
    </row>
    <row r="31" spans="1:15" ht="18" hidden="1" customHeight="1" x14ac:dyDescent="0.3">
      <c r="A31" s="2" t="s">
        <v>390</v>
      </c>
      <c r="B31" s="3" t="s">
        <v>391</v>
      </c>
      <c r="C31" s="2" t="s">
        <v>369</v>
      </c>
      <c r="D31" s="2" t="s">
        <v>249</v>
      </c>
      <c r="E31" s="3" t="s">
        <v>250</v>
      </c>
      <c r="F31" s="3" t="s">
        <v>392</v>
      </c>
      <c r="G31" s="2" t="s">
        <v>252</v>
      </c>
      <c r="H31" s="3" t="s">
        <v>370</v>
      </c>
      <c r="I31" s="3" t="s">
        <v>393</v>
      </c>
      <c r="J31" s="7" t="s">
        <v>255</v>
      </c>
      <c r="K31" s="7" t="s">
        <v>255</v>
      </c>
      <c r="L31" s="7" t="s">
        <v>255</v>
      </c>
      <c r="M31" s="3" t="s">
        <v>219</v>
      </c>
      <c r="N31" s="3" t="s">
        <v>74</v>
      </c>
      <c r="O31" s="3"/>
    </row>
    <row r="32" spans="1:15" ht="18" hidden="1" customHeight="1" x14ac:dyDescent="0.3">
      <c r="A32" s="4" t="s">
        <v>394</v>
      </c>
      <c r="B32" s="5" t="s">
        <v>395</v>
      </c>
      <c r="C32" s="4" t="s">
        <v>369</v>
      </c>
      <c r="D32" s="4" t="s">
        <v>249</v>
      </c>
      <c r="E32" s="5" t="s">
        <v>250</v>
      </c>
      <c r="F32" s="5" t="s">
        <v>396</v>
      </c>
      <c r="G32" s="4" t="s">
        <v>260</v>
      </c>
      <c r="H32" s="5" t="s">
        <v>375</v>
      </c>
      <c r="I32" s="5" t="s">
        <v>397</v>
      </c>
      <c r="J32" s="8" t="s">
        <v>255</v>
      </c>
      <c r="K32" s="8" t="s">
        <v>255</v>
      </c>
      <c r="L32" s="8" t="s">
        <v>255</v>
      </c>
      <c r="M32" s="5" t="s">
        <v>219</v>
      </c>
      <c r="N32" s="5" t="s">
        <v>74</v>
      </c>
      <c r="O32" s="5" t="s">
        <v>382</v>
      </c>
    </row>
    <row r="33" spans="1:15" ht="18" hidden="1" customHeight="1" x14ac:dyDescent="0.3">
      <c r="A33" s="2" t="s">
        <v>398</v>
      </c>
      <c r="B33" s="3" t="s">
        <v>399</v>
      </c>
      <c r="C33" s="2" t="s">
        <v>369</v>
      </c>
      <c r="D33" s="2" t="s">
        <v>249</v>
      </c>
      <c r="E33" s="3" t="s">
        <v>250</v>
      </c>
      <c r="F33" s="3" t="s">
        <v>400</v>
      </c>
      <c r="G33" s="2" t="s">
        <v>260</v>
      </c>
      <c r="H33" s="3" t="s">
        <v>375</v>
      </c>
      <c r="I33" s="3" t="s">
        <v>401</v>
      </c>
      <c r="J33" s="7" t="s">
        <v>255</v>
      </c>
      <c r="K33" s="7" t="s">
        <v>255</v>
      </c>
      <c r="L33" s="7" t="s">
        <v>255</v>
      </c>
      <c r="M33" s="3" t="s">
        <v>219</v>
      </c>
      <c r="N33" s="3" t="s">
        <v>74</v>
      </c>
      <c r="O33" s="3" t="s">
        <v>382</v>
      </c>
    </row>
    <row r="34" spans="1:15" ht="18" hidden="1" customHeight="1" x14ac:dyDescent="0.3">
      <c r="A34" s="4" t="s">
        <v>402</v>
      </c>
      <c r="B34" s="5" t="s">
        <v>403</v>
      </c>
      <c r="C34" s="4" t="s">
        <v>369</v>
      </c>
      <c r="D34" s="4" t="s">
        <v>249</v>
      </c>
      <c r="E34" s="5" t="s">
        <v>250</v>
      </c>
      <c r="F34" s="5" t="s">
        <v>404</v>
      </c>
      <c r="G34" s="4" t="s">
        <v>252</v>
      </c>
      <c r="H34" s="5" t="s">
        <v>370</v>
      </c>
      <c r="I34" s="5" t="s">
        <v>405</v>
      </c>
      <c r="J34" s="8" t="s">
        <v>255</v>
      </c>
      <c r="K34" s="8" t="s">
        <v>255</v>
      </c>
      <c r="L34" s="8" t="s">
        <v>255</v>
      </c>
      <c r="M34" s="5" t="s">
        <v>219</v>
      </c>
      <c r="N34" s="5" t="s">
        <v>74</v>
      </c>
      <c r="O34" s="5"/>
    </row>
    <row r="35" spans="1:15" ht="18" hidden="1" customHeight="1" x14ac:dyDescent="0.3">
      <c r="A35" s="2" t="s">
        <v>406</v>
      </c>
      <c r="B35" s="3" t="s">
        <v>407</v>
      </c>
      <c r="C35" s="2" t="s">
        <v>369</v>
      </c>
      <c r="D35" s="2" t="s">
        <v>249</v>
      </c>
      <c r="E35" s="3" t="s">
        <v>250</v>
      </c>
      <c r="F35" s="3" t="s">
        <v>408</v>
      </c>
      <c r="G35" s="2" t="s">
        <v>252</v>
      </c>
      <c r="H35" s="3" t="s">
        <v>370</v>
      </c>
      <c r="I35" s="3" t="s">
        <v>409</v>
      </c>
      <c r="J35" s="7" t="s">
        <v>255</v>
      </c>
      <c r="K35" s="7" t="s">
        <v>255</v>
      </c>
      <c r="L35" s="7" t="s">
        <v>255</v>
      </c>
      <c r="M35" s="3" t="s">
        <v>219</v>
      </c>
      <c r="N35" s="3" t="s">
        <v>74</v>
      </c>
      <c r="O35" s="3"/>
    </row>
    <row r="36" spans="1:15" ht="18" hidden="1" customHeight="1" x14ac:dyDescent="0.3">
      <c r="A36" s="4" t="s">
        <v>410</v>
      </c>
      <c r="B36" s="5" t="s">
        <v>411</v>
      </c>
      <c r="C36" s="4" t="s">
        <v>412</v>
      </c>
      <c r="D36" s="4" t="s">
        <v>249</v>
      </c>
      <c r="E36" s="5" t="s">
        <v>119</v>
      </c>
      <c r="F36" s="5" t="s">
        <v>268</v>
      </c>
      <c r="G36" s="4" t="s">
        <v>260</v>
      </c>
      <c r="H36" s="5" t="s">
        <v>413</v>
      </c>
      <c r="I36" s="5" t="s">
        <v>414</v>
      </c>
      <c r="J36" s="8" t="s">
        <v>255</v>
      </c>
      <c r="K36" s="8" t="s">
        <v>255</v>
      </c>
      <c r="L36" s="8" t="s">
        <v>255</v>
      </c>
      <c r="M36" s="5" t="s">
        <v>219</v>
      </c>
      <c r="N36" s="5" t="s">
        <v>116</v>
      </c>
      <c r="O36" s="5"/>
    </row>
    <row r="37" spans="1:15" ht="18" hidden="1" customHeight="1" x14ac:dyDescent="0.3">
      <c r="A37" s="2" t="s">
        <v>363</v>
      </c>
      <c r="B37" s="3" t="s">
        <v>70</v>
      </c>
      <c r="C37" s="2" t="s">
        <v>415</v>
      </c>
      <c r="D37" s="2" t="s">
        <v>249</v>
      </c>
      <c r="E37" s="3" t="s">
        <v>73</v>
      </c>
      <c r="F37" s="3" t="s">
        <v>268</v>
      </c>
      <c r="G37" s="2" t="s">
        <v>252</v>
      </c>
      <c r="H37" s="3" t="s">
        <v>320</v>
      </c>
      <c r="I37" s="3" t="s">
        <v>416</v>
      </c>
      <c r="J37" s="7" t="s">
        <v>255</v>
      </c>
      <c r="K37" s="7" t="s">
        <v>255</v>
      </c>
      <c r="L37" s="7" t="s">
        <v>255</v>
      </c>
      <c r="M37" s="3" t="s">
        <v>219</v>
      </c>
      <c r="N37" s="3" t="s">
        <v>219</v>
      </c>
      <c r="O37" s="3"/>
    </row>
    <row r="38" spans="1:15" ht="18" hidden="1" customHeight="1" x14ac:dyDescent="0.3">
      <c r="A38" s="4" t="s">
        <v>417</v>
      </c>
      <c r="B38" s="5" t="s">
        <v>47</v>
      </c>
      <c r="C38" s="4" t="s">
        <v>418</v>
      </c>
      <c r="D38" s="4" t="s">
        <v>249</v>
      </c>
      <c r="E38" s="5" t="s">
        <v>250</v>
      </c>
      <c r="F38" s="5" t="s">
        <v>268</v>
      </c>
      <c r="G38" s="4" t="s">
        <v>252</v>
      </c>
      <c r="H38" s="5" t="s">
        <v>320</v>
      </c>
      <c r="I38" s="5" t="s">
        <v>419</v>
      </c>
      <c r="J38" s="8" t="s">
        <v>255</v>
      </c>
      <c r="K38" s="10" t="s">
        <v>270</v>
      </c>
      <c r="L38" s="8" t="s">
        <v>255</v>
      </c>
      <c r="M38" s="5" t="s">
        <v>219</v>
      </c>
      <c r="N38" s="5" t="s">
        <v>74</v>
      </c>
      <c r="O38" s="5"/>
    </row>
    <row r="39" spans="1:15" ht="18" hidden="1" customHeight="1" x14ac:dyDescent="0.3">
      <c r="A39" s="2" t="s">
        <v>420</v>
      </c>
      <c r="B39" s="3" t="s">
        <v>421</v>
      </c>
      <c r="C39" s="2" t="s">
        <v>279</v>
      </c>
      <c r="D39" s="2" t="s">
        <v>249</v>
      </c>
      <c r="E39" s="3" t="s">
        <v>32</v>
      </c>
      <c r="F39" s="3" t="s">
        <v>268</v>
      </c>
      <c r="G39" s="2" t="s">
        <v>252</v>
      </c>
      <c r="H39" s="3" t="s">
        <v>320</v>
      </c>
      <c r="I39" s="3" t="s">
        <v>422</v>
      </c>
      <c r="J39" s="7" t="s">
        <v>255</v>
      </c>
      <c r="K39" s="9" t="s">
        <v>270</v>
      </c>
      <c r="L39" s="7" t="s">
        <v>255</v>
      </c>
      <c r="M39" s="3" t="s">
        <v>219</v>
      </c>
      <c r="N39" s="3" t="s">
        <v>219</v>
      </c>
      <c r="O39" s="3"/>
    </row>
    <row r="40" spans="1:15" ht="18" hidden="1" customHeight="1" x14ac:dyDescent="0.3">
      <c r="A40" s="4" t="s">
        <v>423</v>
      </c>
      <c r="B40" s="5" t="s">
        <v>424</v>
      </c>
      <c r="C40" s="4" t="s">
        <v>412</v>
      </c>
      <c r="D40" s="4" t="s">
        <v>249</v>
      </c>
      <c r="E40" s="5" t="s">
        <v>108</v>
      </c>
      <c r="F40" s="5" t="s">
        <v>268</v>
      </c>
      <c r="G40" s="4" t="s">
        <v>252</v>
      </c>
      <c r="H40" s="5" t="s">
        <v>425</v>
      </c>
      <c r="I40" s="5" t="s">
        <v>426</v>
      </c>
      <c r="J40" s="8" t="s">
        <v>255</v>
      </c>
      <c r="K40" s="10" t="s">
        <v>270</v>
      </c>
      <c r="L40" s="8" t="s">
        <v>255</v>
      </c>
      <c r="M40" s="5" t="s">
        <v>219</v>
      </c>
      <c r="N40" s="5" t="s">
        <v>219</v>
      </c>
      <c r="O40" s="5"/>
    </row>
    <row r="41" spans="1:15" ht="18" hidden="1" customHeight="1" x14ac:dyDescent="0.3">
      <c r="A41" s="2" t="s">
        <v>427</v>
      </c>
      <c r="B41" s="3" t="s">
        <v>428</v>
      </c>
      <c r="C41" s="2" t="s">
        <v>429</v>
      </c>
      <c r="D41" s="2" t="s">
        <v>249</v>
      </c>
      <c r="E41" s="3" t="s">
        <v>250</v>
      </c>
      <c r="F41" s="3" t="s">
        <v>430</v>
      </c>
      <c r="G41" s="2" t="s">
        <v>252</v>
      </c>
      <c r="H41" s="3" t="s">
        <v>370</v>
      </c>
      <c r="I41" s="3" t="s">
        <v>431</v>
      </c>
      <c r="J41" s="7" t="s">
        <v>255</v>
      </c>
      <c r="K41" s="7" t="s">
        <v>255</v>
      </c>
      <c r="L41" s="7" t="s">
        <v>255</v>
      </c>
      <c r="M41" s="3" t="s">
        <v>219</v>
      </c>
      <c r="N41" s="3" t="s">
        <v>219</v>
      </c>
      <c r="O41" s="3"/>
    </row>
    <row r="42" spans="1:15" ht="18" hidden="1" customHeight="1" x14ac:dyDescent="0.3">
      <c r="A42" s="4" t="s">
        <v>432</v>
      </c>
      <c r="B42" s="5" t="s">
        <v>433</v>
      </c>
      <c r="C42" s="4" t="s">
        <v>434</v>
      </c>
      <c r="D42" s="4" t="s">
        <v>249</v>
      </c>
      <c r="E42" s="5" t="s">
        <v>250</v>
      </c>
      <c r="F42" s="5" t="s">
        <v>435</v>
      </c>
      <c r="G42" s="4" t="s">
        <v>260</v>
      </c>
      <c r="H42" s="5" t="s">
        <v>375</v>
      </c>
      <c r="I42" s="5" t="s">
        <v>436</v>
      </c>
      <c r="J42" s="8" t="s">
        <v>255</v>
      </c>
      <c r="K42" s="10" t="s">
        <v>270</v>
      </c>
      <c r="L42" s="8" t="s">
        <v>255</v>
      </c>
      <c r="M42" s="5" t="s">
        <v>219</v>
      </c>
      <c r="N42" s="5" t="s">
        <v>74</v>
      </c>
      <c r="O42" s="5"/>
    </row>
    <row r="43" spans="1:15" ht="18" hidden="1" customHeight="1" x14ac:dyDescent="0.3">
      <c r="A43" s="2" t="s">
        <v>437</v>
      </c>
      <c r="B43" s="3" t="s">
        <v>438</v>
      </c>
      <c r="C43" s="2" t="s">
        <v>412</v>
      </c>
      <c r="D43" s="2" t="s">
        <v>249</v>
      </c>
      <c r="E43" s="3" t="s">
        <v>250</v>
      </c>
      <c r="F43" s="3" t="s">
        <v>268</v>
      </c>
      <c r="G43" s="2" t="s">
        <v>260</v>
      </c>
      <c r="H43" s="3" t="s">
        <v>439</v>
      </c>
      <c r="I43" s="3" t="s">
        <v>440</v>
      </c>
      <c r="J43" s="7" t="s">
        <v>255</v>
      </c>
      <c r="K43" s="9" t="s">
        <v>270</v>
      </c>
      <c r="L43" s="7" t="s">
        <v>255</v>
      </c>
      <c r="M43" s="3" t="s">
        <v>219</v>
      </c>
      <c r="N43" s="3" t="s">
        <v>74</v>
      </c>
      <c r="O43" s="3"/>
    </row>
    <row r="44" spans="1:15" ht="18" hidden="1" customHeight="1" x14ac:dyDescent="0.3">
      <c r="A44" s="4" t="s">
        <v>441</v>
      </c>
      <c r="B44" s="5" t="s">
        <v>442</v>
      </c>
      <c r="C44" s="4" t="s">
        <v>429</v>
      </c>
      <c r="D44" s="4" t="s">
        <v>249</v>
      </c>
      <c r="E44" s="5" t="s">
        <v>250</v>
      </c>
      <c r="F44" s="5" t="s">
        <v>443</v>
      </c>
      <c r="G44" s="4" t="s">
        <v>260</v>
      </c>
      <c r="H44" s="5" t="s">
        <v>439</v>
      </c>
      <c r="I44" s="5" t="s">
        <v>444</v>
      </c>
      <c r="J44" s="8" t="s">
        <v>255</v>
      </c>
      <c r="K44" s="8" t="s">
        <v>255</v>
      </c>
      <c r="L44" s="8" t="s">
        <v>255</v>
      </c>
      <c r="M44" s="5" t="s">
        <v>219</v>
      </c>
      <c r="N44" s="5" t="s">
        <v>74</v>
      </c>
      <c r="O44" s="5"/>
    </row>
    <row r="45" spans="1:15" ht="18" hidden="1" customHeight="1" x14ac:dyDescent="0.3">
      <c r="A45" s="2" t="s">
        <v>445</v>
      </c>
      <c r="B45" s="3" t="s">
        <v>446</v>
      </c>
      <c r="C45" s="2" t="s">
        <v>447</v>
      </c>
      <c r="D45" s="2" t="s">
        <v>249</v>
      </c>
      <c r="E45" s="3" t="s">
        <v>119</v>
      </c>
      <c r="F45" s="3" t="s">
        <v>268</v>
      </c>
      <c r="G45" s="2" t="s">
        <v>448</v>
      </c>
      <c r="H45" s="3" t="s">
        <v>448</v>
      </c>
      <c r="I45" s="3" t="s">
        <v>448</v>
      </c>
      <c r="J45" s="7" t="s">
        <v>255</v>
      </c>
      <c r="K45" s="7" t="s">
        <v>255</v>
      </c>
      <c r="L45" s="7" t="s">
        <v>255</v>
      </c>
      <c r="M45" s="3"/>
      <c r="N45" s="3"/>
      <c r="O45" s="3"/>
    </row>
    <row r="46" spans="1:15" ht="18" hidden="1" customHeight="1" x14ac:dyDescent="0.3">
      <c r="A46" s="4" t="s">
        <v>449</v>
      </c>
      <c r="B46" s="5" t="s">
        <v>450</v>
      </c>
      <c r="C46" s="4" t="s">
        <v>451</v>
      </c>
      <c r="D46" s="4" t="s">
        <v>249</v>
      </c>
      <c r="E46" s="5" t="s">
        <v>250</v>
      </c>
      <c r="F46" s="5" t="s">
        <v>452</v>
      </c>
      <c r="G46" s="4" t="s">
        <v>260</v>
      </c>
      <c r="H46" s="5" t="s">
        <v>375</v>
      </c>
      <c r="I46" s="5" t="s">
        <v>453</v>
      </c>
      <c r="J46" s="8" t="s">
        <v>255</v>
      </c>
      <c r="K46" s="10" t="s">
        <v>270</v>
      </c>
      <c r="L46" s="8" t="s">
        <v>255</v>
      </c>
      <c r="M46" s="5" t="s">
        <v>219</v>
      </c>
      <c r="N46" s="5" t="s">
        <v>74</v>
      </c>
      <c r="O46" s="5"/>
    </row>
    <row r="47" spans="1:15" ht="18" hidden="1" customHeight="1" x14ac:dyDescent="0.3">
      <c r="A47" s="2" t="s">
        <v>454</v>
      </c>
      <c r="B47" s="3" t="s">
        <v>455</v>
      </c>
      <c r="C47" s="2" t="s">
        <v>369</v>
      </c>
      <c r="D47" s="2" t="s">
        <v>249</v>
      </c>
      <c r="E47" s="3" t="s">
        <v>250</v>
      </c>
      <c r="F47" s="3" t="s">
        <v>456</v>
      </c>
      <c r="G47" s="2" t="s">
        <v>252</v>
      </c>
      <c r="H47" s="3" t="s">
        <v>448</v>
      </c>
      <c r="I47" s="3" t="s">
        <v>448</v>
      </c>
      <c r="J47" s="7" t="s">
        <v>255</v>
      </c>
      <c r="K47" s="9" t="s">
        <v>270</v>
      </c>
      <c r="L47" s="7" t="s">
        <v>255</v>
      </c>
      <c r="M47" s="3" t="s">
        <v>219</v>
      </c>
      <c r="N47" s="3" t="s">
        <v>74</v>
      </c>
      <c r="O47" s="3" t="s">
        <v>382</v>
      </c>
    </row>
    <row r="48" spans="1:15" ht="18" hidden="1" customHeight="1" x14ac:dyDescent="0.3">
      <c r="A48" s="4" t="s">
        <v>457</v>
      </c>
      <c r="B48" s="5" t="s">
        <v>458</v>
      </c>
      <c r="C48" s="4" t="s">
        <v>459</v>
      </c>
      <c r="D48" s="4" t="s">
        <v>249</v>
      </c>
      <c r="E48" s="5" t="s">
        <v>250</v>
      </c>
      <c r="F48" s="5" t="s">
        <v>268</v>
      </c>
      <c r="G48" s="4" t="s">
        <v>252</v>
      </c>
      <c r="H48" s="5" t="s">
        <v>320</v>
      </c>
      <c r="I48" s="5" t="s">
        <v>460</v>
      </c>
      <c r="J48" s="8" t="s">
        <v>255</v>
      </c>
      <c r="K48" s="10" t="s">
        <v>270</v>
      </c>
      <c r="L48" s="8" t="s">
        <v>255</v>
      </c>
      <c r="M48" s="5" t="s">
        <v>219</v>
      </c>
      <c r="N48" s="5" t="s">
        <v>74</v>
      </c>
      <c r="O48" s="5"/>
    </row>
    <row r="49" spans="1:15" ht="18" hidden="1" customHeight="1" x14ac:dyDescent="0.3">
      <c r="A49" s="2" t="s">
        <v>461</v>
      </c>
      <c r="B49" s="3" t="s">
        <v>462</v>
      </c>
      <c r="C49" s="2" t="s">
        <v>463</v>
      </c>
      <c r="D49" s="2" t="s">
        <v>249</v>
      </c>
      <c r="E49" s="3" t="s">
        <v>85</v>
      </c>
      <c r="F49" s="3" t="s">
        <v>268</v>
      </c>
      <c r="G49" s="2" t="s">
        <v>312</v>
      </c>
      <c r="H49" s="3" t="s">
        <v>464</v>
      </c>
      <c r="I49" s="3" t="s">
        <v>465</v>
      </c>
      <c r="J49" s="7" t="s">
        <v>255</v>
      </c>
      <c r="K49" s="7" t="s">
        <v>255</v>
      </c>
      <c r="L49" s="7" t="s">
        <v>255</v>
      </c>
      <c r="M49" s="3" t="s">
        <v>112</v>
      </c>
      <c r="N49" s="3" t="s">
        <v>462</v>
      </c>
      <c r="O49" s="3"/>
    </row>
    <row r="50" spans="1:15" ht="18" hidden="1" customHeight="1" x14ac:dyDescent="0.3">
      <c r="A50" s="4" t="s">
        <v>466</v>
      </c>
      <c r="B50" s="5" t="s">
        <v>148</v>
      </c>
      <c r="C50" s="4" t="s">
        <v>467</v>
      </c>
      <c r="D50" s="4" t="s">
        <v>249</v>
      </c>
      <c r="E50" s="5" t="s">
        <v>267</v>
      </c>
      <c r="F50" s="5" t="s">
        <v>268</v>
      </c>
      <c r="G50" s="4" t="s">
        <v>468</v>
      </c>
      <c r="H50" s="5" t="s">
        <v>469</v>
      </c>
      <c r="I50" s="5" t="s">
        <v>470</v>
      </c>
      <c r="J50" s="10" t="s">
        <v>270</v>
      </c>
      <c r="K50" s="8" t="s">
        <v>255</v>
      </c>
      <c r="L50" s="8" t="s">
        <v>255</v>
      </c>
      <c r="M50" s="5" t="s">
        <v>112</v>
      </c>
      <c r="N50" s="5" t="s">
        <v>148</v>
      </c>
      <c r="O50" s="5"/>
    </row>
    <row r="51" spans="1:15" ht="18" hidden="1" customHeight="1" x14ac:dyDescent="0.3">
      <c r="A51" s="2" t="s">
        <v>471</v>
      </c>
      <c r="B51" s="3" t="s">
        <v>141</v>
      </c>
      <c r="C51" s="2" t="s">
        <v>472</v>
      </c>
      <c r="D51" s="2" t="s">
        <v>249</v>
      </c>
      <c r="E51" s="3" t="s">
        <v>267</v>
      </c>
      <c r="F51" s="3" t="s">
        <v>268</v>
      </c>
      <c r="G51" s="2" t="s">
        <v>473</v>
      </c>
      <c r="H51" s="3" t="s">
        <v>474</v>
      </c>
      <c r="I51" s="3" t="s">
        <v>475</v>
      </c>
      <c r="J51" s="9" t="s">
        <v>270</v>
      </c>
      <c r="K51" s="7" t="s">
        <v>255</v>
      </c>
      <c r="L51" s="7" t="s">
        <v>255</v>
      </c>
      <c r="M51" s="3" t="s">
        <v>112</v>
      </c>
      <c r="N51" s="3" t="s">
        <v>141</v>
      </c>
      <c r="O51" s="3"/>
    </row>
    <row r="52" spans="1:15" ht="18" hidden="1" customHeight="1" x14ac:dyDescent="0.3">
      <c r="A52" s="4" t="s">
        <v>476</v>
      </c>
      <c r="B52" s="5" t="s">
        <v>477</v>
      </c>
      <c r="C52" s="4" t="s">
        <v>478</v>
      </c>
      <c r="D52" s="4" t="s">
        <v>249</v>
      </c>
      <c r="E52" s="5" t="s">
        <v>479</v>
      </c>
      <c r="F52" s="5" t="s">
        <v>268</v>
      </c>
      <c r="G52" s="4" t="s">
        <v>480</v>
      </c>
      <c r="H52" s="5" t="s">
        <v>481</v>
      </c>
      <c r="I52" s="5" t="s">
        <v>482</v>
      </c>
      <c r="J52" s="10" t="s">
        <v>270</v>
      </c>
      <c r="K52" s="8" t="s">
        <v>255</v>
      </c>
      <c r="L52" s="8" t="s">
        <v>255</v>
      </c>
      <c r="M52" s="5" t="s">
        <v>112</v>
      </c>
      <c r="N52" s="5" t="s">
        <v>477</v>
      </c>
      <c r="O52" s="5"/>
    </row>
    <row r="53" spans="1:15" ht="18" hidden="1" customHeight="1" x14ac:dyDescent="0.3">
      <c r="A53" s="2" t="s">
        <v>483</v>
      </c>
      <c r="B53" s="3" t="s">
        <v>82</v>
      </c>
      <c r="C53" s="2" t="s">
        <v>484</v>
      </c>
      <c r="D53" s="2" t="s">
        <v>249</v>
      </c>
      <c r="E53" s="3" t="s">
        <v>85</v>
      </c>
      <c r="F53" s="3" t="s">
        <v>268</v>
      </c>
      <c r="G53" s="2" t="s">
        <v>260</v>
      </c>
      <c r="H53" s="3" t="s">
        <v>485</v>
      </c>
      <c r="I53" s="3" t="s">
        <v>486</v>
      </c>
      <c r="J53" s="7" t="s">
        <v>255</v>
      </c>
      <c r="K53" s="9" t="s">
        <v>270</v>
      </c>
      <c r="L53" s="7" t="s">
        <v>255</v>
      </c>
      <c r="M53" s="3" t="s">
        <v>219</v>
      </c>
      <c r="N53" s="3" t="s">
        <v>82</v>
      </c>
      <c r="O53" s="3" t="s">
        <v>487</v>
      </c>
    </row>
    <row r="54" spans="1:15" ht="18" hidden="1" customHeight="1" x14ac:dyDescent="0.3">
      <c r="A54" s="4" t="s">
        <v>264</v>
      </c>
      <c r="B54" s="5" t="s">
        <v>488</v>
      </c>
      <c r="C54" s="4" t="s">
        <v>489</v>
      </c>
      <c r="D54" s="4" t="s">
        <v>249</v>
      </c>
      <c r="E54" s="5" t="s">
        <v>490</v>
      </c>
      <c r="F54" s="5" t="s">
        <v>268</v>
      </c>
      <c r="G54" s="4" t="s">
        <v>491</v>
      </c>
      <c r="H54" s="5" t="s">
        <v>492</v>
      </c>
      <c r="I54" s="5" t="s">
        <v>493</v>
      </c>
      <c r="J54" s="10" t="s">
        <v>270</v>
      </c>
      <c r="K54" s="8" t="s">
        <v>255</v>
      </c>
      <c r="L54" s="8" t="s">
        <v>255</v>
      </c>
      <c r="M54" s="5" t="s">
        <v>112</v>
      </c>
      <c r="N54" s="5" t="s">
        <v>494</v>
      </c>
      <c r="O54" s="5"/>
    </row>
    <row r="55" spans="1:15" ht="18" hidden="1" customHeight="1" x14ac:dyDescent="0.3">
      <c r="A55" s="2" t="s">
        <v>495</v>
      </c>
      <c r="B55" s="3" t="s">
        <v>496</v>
      </c>
      <c r="C55" s="2" t="s">
        <v>497</v>
      </c>
      <c r="D55" s="2" t="s">
        <v>249</v>
      </c>
      <c r="E55" s="3" t="s">
        <v>498</v>
      </c>
      <c r="F55" s="3" t="s">
        <v>268</v>
      </c>
      <c r="G55" s="2" t="s">
        <v>252</v>
      </c>
      <c r="H55" s="3" t="s">
        <v>499</v>
      </c>
      <c r="I55" s="3" t="s">
        <v>500</v>
      </c>
      <c r="J55" s="9" t="s">
        <v>270</v>
      </c>
      <c r="K55" s="7" t="s">
        <v>255</v>
      </c>
      <c r="L55" s="7" t="s">
        <v>255</v>
      </c>
      <c r="M55" s="3" t="s">
        <v>112</v>
      </c>
      <c r="N55" s="3" t="s">
        <v>501</v>
      </c>
      <c r="O55" s="3"/>
    </row>
    <row r="56" spans="1:15" ht="18" hidden="1" customHeight="1" x14ac:dyDescent="0.3">
      <c r="A56" s="4" t="s">
        <v>502</v>
      </c>
      <c r="B56" s="5" t="s">
        <v>158</v>
      </c>
      <c r="C56" s="4" t="s">
        <v>503</v>
      </c>
      <c r="D56" s="4" t="s">
        <v>249</v>
      </c>
      <c r="E56" s="5" t="s">
        <v>504</v>
      </c>
      <c r="F56" s="5" t="s">
        <v>268</v>
      </c>
      <c r="G56" s="4" t="s">
        <v>252</v>
      </c>
      <c r="H56" s="5" t="s">
        <v>505</v>
      </c>
      <c r="I56" s="5" t="s">
        <v>506</v>
      </c>
      <c r="J56" s="10" t="s">
        <v>270</v>
      </c>
      <c r="K56" s="8" t="s">
        <v>255</v>
      </c>
      <c r="L56" s="8" t="s">
        <v>255</v>
      </c>
      <c r="M56" s="5" t="s">
        <v>112</v>
      </c>
      <c r="N56" s="5" t="s">
        <v>158</v>
      </c>
      <c r="O56" s="5"/>
    </row>
    <row r="57" spans="1:15" ht="18" hidden="1" customHeight="1" x14ac:dyDescent="0.3">
      <c r="A57" s="2" t="s">
        <v>507</v>
      </c>
      <c r="B57" s="3" t="s">
        <v>219</v>
      </c>
      <c r="C57" s="2" t="s">
        <v>508</v>
      </c>
      <c r="D57" s="2" t="s">
        <v>249</v>
      </c>
      <c r="E57" s="3" t="s">
        <v>504</v>
      </c>
      <c r="F57" s="3" t="s">
        <v>268</v>
      </c>
      <c r="G57" s="2" t="s">
        <v>509</v>
      </c>
      <c r="H57" s="3" t="s">
        <v>510</v>
      </c>
      <c r="I57" s="3" t="s">
        <v>511</v>
      </c>
      <c r="J57" s="9" t="s">
        <v>270</v>
      </c>
      <c r="K57" s="7" t="s">
        <v>255</v>
      </c>
      <c r="L57" s="7" t="s">
        <v>255</v>
      </c>
      <c r="M57" s="3" t="s">
        <v>158</v>
      </c>
      <c r="N57" s="3" t="s">
        <v>219</v>
      </c>
      <c r="O57" s="3"/>
    </row>
    <row r="58" spans="1:15" ht="18" hidden="1" customHeight="1" x14ac:dyDescent="0.3">
      <c r="A58" s="4" t="s">
        <v>512</v>
      </c>
      <c r="B58" s="5" t="s">
        <v>513</v>
      </c>
      <c r="C58" s="4" t="s">
        <v>514</v>
      </c>
      <c r="D58" s="4" t="s">
        <v>249</v>
      </c>
      <c r="E58" s="5" t="s">
        <v>490</v>
      </c>
      <c r="F58" s="5" t="s">
        <v>268</v>
      </c>
      <c r="G58" s="4" t="s">
        <v>515</v>
      </c>
      <c r="H58" s="5" t="s">
        <v>516</v>
      </c>
      <c r="I58" s="5" t="s">
        <v>517</v>
      </c>
      <c r="J58" s="10" t="s">
        <v>270</v>
      </c>
      <c r="K58" s="8" t="s">
        <v>255</v>
      </c>
      <c r="L58" s="8" t="s">
        <v>255</v>
      </c>
      <c r="M58" s="5" t="s">
        <v>112</v>
      </c>
      <c r="N58" s="5" t="s">
        <v>518</v>
      </c>
      <c r="O58" s="5"/>
    </row>
    <row r="59" spans="1:15" ht="18" hidden="1" customHeight="1" x14ac:dyDescent="0.3">
      <c r="A59" s="2" t="s">
        <v>519</v>
      </c>
      <c r="B59" s="3" t="s">
        <v>520</v>
      </c>
      <c r="C59" s="2" t="s">
        <v>521</v>
      </c>
      <c r="D59" s="2" t="s">
        <v>522</v>
      </c>
      <c r="E59" s="3" t="s">
        <v>523</v>
      </c>
      <c r="F59" s="3" t="s">
        <v>268</v>
      </c>
      <c r="G59" s="2" t="s">
        <v>312</v>
      </c>
      <c r="H59" s="3" t="s">
        <v>524</v>
      </c>
      <c r="I59" s="3" t="s">
        <v>525</v>
      </c>
      <c r="J59" s="9" t="s">
        <v>270</v>
      </c>
      <c r="K59" s="9" t="s">
        <v>270</v>
      </c>
      <c r="L59" s="7" t="s">
        <v>255</v>
      </c>
      <c r="M59" s="3" t="s">
        <v>219</v>
      </c>
      <c r="N59" s="3" t="s">
        <v>520</v>
      </c>
      <c r="O59" s="3"/>
    </row>
    <row r="60" spans="1:15" ht="18" hidden="1" customHeight="1" x14ac:dyDescent="0.3">
      <c r="A60" s="4" t="s">
        <v>526</v>
      </c>
      <c r="B60" s="5" t="s">
        <v>527</v>
      </c>
      <c r="C60" s="4" t="s">
        <v>528</v>
      </c>
      <c r="D60" s="4" t="s">
        <v>249</v>
      </c>
      <c r="E60" s="5" t="s">
        <v>498</v>
      </c>
      <c r="F60" s="5" t="s">
        <v>268</v>
      </c>
      <c r="G60" s="4" t="s">
        <v>302</v>
      </c>
      <c r="H60" s="5" t="s">
        <v>529</v>
      </c>
      <c r="I60" s="5" t="s">
        <v>530</v>
      </c>
      <c r="J60" s="10" t="s">
        <v>270</v>
      </c>
      <c r="K60" s="8" t="s">
        <v>255</v>
      </c>
      <c r="L60" s="8" t="s">
        <v>255</v>
      </c>
      <c r="M60" s="5" t="s">
        <v>112</v>
      </c>
      <c r="N60" s="5" t="s">
        <v>531</v>
      </c>
      <c r="O60" s="5"/>
    </row>
    <row r="61" spans="1:15" ht="18" hidden="1" customHeight="1" x14ac:dyDescent="0.3">
      <c r="A61" s="2" t="s">
        <v>532</v>
      </c>
      <c r="B61" s="3" t="s">
        <v>116</v>
      </c>
      <c r="C61" s="2" t="s">
        <v>533</v>
      </c>
      <c r="D61" s="2" t="s">
        <v>249</v>
      </c>
      <c r="E61" s="3" t="s">
        <v>119</v>
      </c>
      <c r="F61" s="3" t="s">
        <v>268</v>
      </c>
      <c r="G61" s="2" t="s">
        <v>312</v>
      </c>
      <c r="H61" s="3" t="s">
        <v>534</v>
      </c>
      <c r="I61" s="3" t="s">
        <v>535</v>
      </c>
      <c r="J61" s="9" t="s">
        <v>270</v>
      </c>
      <c r="K61" s="9" t="s">
        <v>270</v>
      </c>
      <c r="L61" s="7" t="s">
        <v>255</v>
      </c>
      <c r="M61" s="3" t="s">
        <v>112</v>
      </c>
      <c r="N61" s="3" t="s">
        <v>116</v>
      </c>
      <c r="O61" s="3"/>
    </row>
    <row r="62" spans="1:15" ht="18" hidden="1" customHeight="1" x14ac:dyDescent="0.3">
      <c r="A62" s="4" t="s">
        <v>536</v>
      </c>
      <c r="B62" s="5" t="s">
        <v>537</v>
      </c>
      <c r="C62" s="4" t="s">
        <v>538</v>
      </c>
      <c r="D62" s="4" t="s">
        <v>249</v>
      </c>
      <c r="E62" s="5" t="s">
        <v>85</v>
      </c>
      <c r="F62" s="5" t="s">
        <v>268</v>
      </c>
      <c r="G62" s="4" t="s">
        <v>302</v>
      </c>
      <c r="H62" s="5" t="s">
        <v>539</v>
      </c>
      <c r="I62" s="5" t="s">
        <v>540</v>
      </c>
      <c r="J62" s="10" t="s">
        <v>270</v>
      </c>
      <c r="K62" s="10" t="s">
        <v>270</v>
      </c>
      <c r="L62" s="8" t="s">
        <v>255</v>
      </c>
      <c r="M62" s="5" t="s">
        <v>219</v>
      </c>
      <c r="N62" s="5" t="s">
        <v>112</v>
      </c>
      <c r="O62" s="5"/>
    </row>
    <row r="63" spans="1:15" ht="18" hidden="1" customHeight="1" x14ac:dyDescent="0.3">
      <c r="A63" s="2" t="s">
        <v>541</v>
      </c>
      <c r="B63" s="3" t="s">
        <v>109</v>
      </c>
      <c r="C63" s="2" t="s">
        <v>542</v>
      </c>
      <c r="D63" s="2" t="s">
        <v>522</v>
      </c>
      <c r="E63" s="3" t="s">
        <v>267</v>
      </c>
      <c r="F63" s="3" t="s">
        <v>268</v>
      </c>
      <c r="G63" s="2" t="s">
        <v>260</v>
      </c>
      <c r="H63" s="3" t="s">
        <v>543</v>
      </c>
      <c r="I63" s="3" t="s">
        <v>544</v>
      </c>
      <c r="J63" s="9" t="s">
        <v>270</v>
      </c>
      <c r="K63" s="9" t="s">
        <v>270</v>
      </c>
      <c r="L63" s="7" t="s">
        <v>255</v>
      </c>
      <c r="M63" s="3" t="s">
        <v>545</v>
      </c>
      <c r="N63" s="3" t="s">
        <v>545</v>
      </c>
      <c r="O63" s="3"/>
    </row>
    <row r="64" spans="1:15" ht="18" hidden="1" customHeight="1" x14ac:dyDescent="0.3">
      <c r="A64" s="4" t="s">
        <v>546</v>
      </c>
      <c r="B64" s="5" t="s">
        <v>547</v>
      </c>
      <c r="C64" s="4" t="s">
        <v>548</v>
      </c>
      <c r="D64" s="4" t="s">
        <v>249</v>
      </c>
      <c r="E64" s="5" t="s">
        <v>549</v>
      </c>
      <c r="F64" s="5" t="s">
        <v>268</v>
      </c>
      <c r="G64" s="4" t="s">
        <v>491</v>
      </c>
      <c r="H64" s="5" t="s">
        <v>550</v>
      </c>
      <c r="I64" s="5" t="s">
        <v>551</v>
      </c>
      <c r="J64" s="10" t="s">
        <v>270</v>
      </c>
      <c r="K64" s="10" t="s">
        <v>270</v>
      </c>
      <c r="L64" s="8" t="s">
        <v>255</v>
      </c>
      <c r="M64" s="5" t="s">
        <v>112</v>
      </c>
      <c r="N64" s="5" t="s">
        <v>182</v>
      </c>
      <c r="O64" s="5"/>
    </row>
    <row r="65" spans="1:15" ht="18" hidden="1" customHeight="1" x14ac:dyDescent="0.3">
      <c r="A65" s="2" t="s">
        <v>552</v>
      </c>
      <c r="B65" s="3" t="s">
        <v>553</v>
      </c>
      <c r="C65" s="2" t="s">
        <v>554</v>
      </c>
      <c r="D65" s="2" t="s">
        <v>249</v>
      </c>
      <c r="E65" s="3" t="s">
        <v>549</v>
      </c>
      <c r="F65" s="3" t="s">
        <v>268</v>
      </c>
      <c r="G65" s="2" t="s">
        <v>302</v>
      </c>
      <c r="H65" s="3" t="s">
        <v>481</v>
      </c>
      <c r="I65" s="3" t="s">
        <v>555</v>
      </c>
      <c r="J65" s="9" t="s">
        <v>270</v>
      </c>
      <c r="K65" s="9" t="s">
        <v>270</v>
      </c>
      <c r="L65" s="7" t="s">
        <v>255</v>
      </c>
      <c r="M65" s="3" t="s">
        <v>112</v>
      </c>
      <c r="N65" s="3" t="s">
        <v>553</v>
      </c>
      <c r="O65" s="3"/>
    </row>
    <row r="66" spans="1:15" ht="18" hidden="1" customHeight="1" x14ac:dyDescent="0.3">
      <c r="A66" s="4" t="s">
        <v>556</v>
      </c>
      <c r="B66" s="5" t="s">
        <v>557</v>
      </c>
      <c r="C66" s="4" t="s">
        <v>558</v>
      </c>
      <c r="D66" s="4" t="s">
        <v>249</v>
      </c>
      <c r="E66" s="5" t="s">
        <v>498</v>
      </c>
      <c r="F66" s="5" t="s">
        <v>268</v>
      </c>
      <c r="G66" s="4" t="s">
        <v>559</v>
      </c>
      <c r="H66" s="5" t="s">
        <v>560</v>
      </c>
      <c r="I66" s="5" t="s">
        <v>561</v>
      </c>
      <c r="J66" s="10" t="s">
        <v>270</v>
      </c>
      <c r="K66" s="10" t="s">
        <v>270</v>
      </c>
      <c r="L66" s="8" t="s">
        <v>255</v>
      </c>
      <c r="M66" s="5" t="s">
        <v>112</v>
      </c>
      <c r="N66" s="5" t="s">
        <v>128</v>
      </c>
      <c r="O66" s="5"/>
    </row>
    <row r="67" spans="1:15" ht="18" hidden="1" customHeight="1" x14ac:dyDescent="0.3">
      <c r="A67" s="2" t="s">
        <v>562</v>
      </c>
      <c r="B67" s="3" t="s">
        <v>563</v>
      </c>
      <c r="C67" s="2" t="s">
        <v>564</v>
      </c>
      <c r="D67" s="2" t="s">
        <v>249</v>
      </c>
      <c r="E67" s="3" t="s">
        <v>32</v>
      </c>
      <c r="F67" s="3" t="s">
        <v>268</v>
      </c>
      <c r="G67" s="2" t="s">
        <v>509</v>
      </c>
      <c r="H67" s="3" t="s">
        <v>510</v>
      </c>
      <c r="I67" s="3" t="s">
        <v>565</v>
      </c>
      <c r="J67" s="9" t="s">
        <v>270</v>
      </c>
      <c r="K67" s="9" t="s">
        <v>270</v>
      </c>
      <c r="L67" s="7" t="s">
        <v>255</v>
      </c>
      <c r="M67" s="3" t="s">
        <v>112</v>
      </c>
      <c r="N67" s="3" t="s">
        <v>282</v>
      </c>
      <c r="O67" s="3"/>
    </row>
    <row r="68" spans="1:15" ht="18" hidden="1" customHeight="1" x14ac:dyDescent="0.3">
      <c r="A68" s="4" t="s">
        <v>566</v>
      </c>
      <c r="B68" s="5" t="s">
        <v>567</v>
      </c>
      <c r="C68" s="4" t="s">
        <v>568</v>
      </c>
      <c r="D68" s="4" t="s">
        <v>249</v>
      </c>
      <c r="E68" s="5" t="s">
        <v>32</v>
      </c>
      <c r="F68" s="5" t="s">
        <v>268</v>
      </c>
      <c r="G68" s="4" t="s">
        <v>569</v>
      </c>
      <c r="H68" s="5" t="s">
        <v>570</v>
      </c>
      <c r="I68" s="5" t="s">
        <v>571</v>
      </c>
      <c r="J68" s="10" t="s">
        <v>270</v>
      </c>
      <c r="K68" s="10" t="s">
        <v>270</v>
      </c>
      <c r="L68" s="8" t="s">
        <v>255</v>
      </c>
      <c r="M68" s="5" t="s">
        <v>112</v>
      </c>
      <c r="N68" s="5" t="s">
        <v>112</v>
      </c>
      <c r="O68" s="5"/>
    </row>
    <row r="69" spans="1:15" ht="18" hidden="1" customHeight="1" x14ac:dyDescent="0.3">
      <c r="A69" s="2" t="s">
        <v>572</v>
      </c>
      <c r="B69" s="3" t="s">
        <v>61</v>
      </c>
      <c r="C69" s="2" t="s">
        <v>573</v>
      </c>
      <c r="D69" s="2" t="s">
        <v>249</v>
      </c>
      <c r="E69" s="3" t="s">
        <v>574</v>
      </c>
      <c r="F69" s="3" t="s">
        <v>268</v>
      </c>
      <c r="G69" s="2" t="s">
        <v>302</v>
      </c>
      <c r="H69" s="3" t="s">
        <v>481</v>
      </c>
      <c r="I69" s="3" t="s">
        <v>575</v>
      </c>
      <c r="J69" s="9" t="s">
        <v>270</v>
      </c>
      <c r="K69" s="9" t="s">
        <v>270</v>
      </c>
      <c r="L69" s="7" t="s">
        <v>255</v>
      </c>
      <c r="M69" s="3" t="s">
        <v>112</v>
      </c>
      <c r="N69" s="3" t="s">
        <v>61</v>
      </c>
      <c r="O69" s="3"/>
    </row>
    <row r="70" spans="1:15" ht="18" hidden="1" customHeight="1" x14ac:dyDescent="0.3">
      <c r="A70" s="4" t="s">
        <v>576</v>
      </c>
      <c r="B70" s="5" t="s">
        <v>86</v>
      </c>
      <c r="C70" s="4" t="s">
        <v>577</v>
      </c>
      <c r="D70" s="4" t="s">
        <v>249</v>
      </c>
      <c r="E70" s="5" t="s">
        <v>549</v>
      </c>
      <c r="F70" s="5" t="s">
        <v>268</v>
      </c>
      <c r="G70" s="4" t="s">
        <v>559</v>
      </c>
      <c r="H70" s="5" t="s">
        <v>578</v>
      </c>
      <c r="I70" s="5" t="s">
        <v>579</v>
      </c>
      <c r="J70" s="10" t="s">
        <v>270</v>
      </c>
      <c r="K70" s="10" t="s">
        <v>270</v>
      </c>
      <c r="L70" s="8" t="s">
        <v>255</v>
      </c>
      <c r="M70" s="5" t="s">
        <v>112</v>
      </c>
      <c r="N70" s="5" t="s">
        <v>86</v>
      </c>
      <c r="O70" s="5"/>
    </row>
    <row r="71" spans="1:15" ht="18" hidden="1" customHeight="1" x14ac:dyDescent="0.3">
      <c r="A71" s="2" t="s">
        <v>580</v>
      </c>
      <c r="B71" s="3" t="s">
        <v>581</v>
      </c>
      <c r="C71" s="2" t="s">
        <v>582</v>
      </c>
      <c r="D71" s="2" t="s">
        <v>249</v>
      </c>
      <c r="E71" s="3" t="s">
        <v>583</v>
      </c>
      <c r="F71" s="3" t="s">
        <v>268</v>
      </c>
      <c r="G71" s="2" t="s">
        <v>491</v>
      </c>
      <c r="H71" s="3" t="s">
        <v>584</v>
      </c>
      <c r="I71" s="3" t="s">
        <v>585</v>
      </c>
      <c r="J71" s="9" t="s">
        <v>270</v>
      </c>
      <c r="K71" s="9" t="s">
        <v>270</v>
      </c>
      <c r="L71" s="7" t="s">
        <v>255</v>
      </c>
      <c r="M71" s="3" t="s">
        <v>112</v>
      </c>
      <c r="N71" s="3" t="s">
        <v>581</v>
      </c>
      <c r="O71" s="3"/>
    </row>
    <row r="72" spans="1:15" ht="18" hidden="1" customHeight="1" x14ac:dyDescent="0.3">
      <c r="A72" s="4" t="s">
        <v>586</v>
      </c>
      <c r="B72" s="5" t="s">
        <v>144</v>
      </c>
      <c r="C72" s="4" t="s">
        <v>587</v>
      </c>
      <c r="D72" s="4" t="s">
        <v>249</v>
      </c>
      <c r="E72" s="5" t="s">
        <v>85</v>
      </c>
      <c r="F72" s="5" t="s">
        <v>268</v>
      </c>
      <c r="G72" s="4" t="s">
        <v>509</v>
      </c>
      <c r="H72" s="5" t="s">
        <v>588</v>
      </c>
      <c r="I72" s="5" t="s">
        <v>589</v>
      </c>
      <c r="J72" s="10" t="s">
        <v>270</v>
      </c>
      <c r="K72" s="10" t="s">
        <v>270</v>
      </c>
      <c r="L72" s="8" t="s">
        <v>255</v>
      </c>
      <c r="M72" s="5" t="s">
        <v>124</v>
      </c>
      <c r="N72" s="5" t="s">
        <v>144</v>
      </c>
      <c r="O72" s="5"/>
    </row>
    <row r="73" spans="1:15" ht="18" hidden="1" customHeight="1" x14ac:dyDescent="0.3">
      <c r="A73" s="2" t="s">
        <v>590</v>
      </c>
      <c r="B73" s="3" t="s">
        <v>38</v>
      </c>
      <c r="C73" s="2" t="s">
        <v>591</v>
      </c>
      <c r="D73" s="2" t="s">
        <v>249</v>
      </c>
      <c r="E73" s="3" t="s">
        <v>549</v>
      </c>
      <c r="F73" s="3" t="s">
        <v>268</v>
      </c>
      <c r="G73" s="2" t="s">
        <v>569</v>
      </c>
      <c r="H73" s="3" t="s">
        <v>592</v>
      </c>
      <c r="I73" s="3" t="s">
        <v>593</v>
      </c>
      <c r="J73" s="9" t="s">
        <v>270</v>
      </c>
      <c r="K73" s="9" t="s">
        <v>270</v>
      </c>
      <c r="L73" s="7" t="s">
        <v>255</v>
      </c>
      <c r="M73" s="3" t="s">
        <v>124</v>
      </c>
      <c r="N73" s="3" t="s">
        <v>38</v>
      </c>
      <c r="O73" s="3"/>
    </row>
    <row r="74" spans="1:15" ht="18" hidden="1" customHeight="1" x14ac:dyDescent="0.3">
      <c r="A74" s="4"/>
      <c r="B74" s="5" t="s">
        <v>594</v>
      </c>
      <c r="C74" s="4" t="s">
        <v>595</v>
      </c>
      <c r="D74" s="4" t="s">
        <v>336</v>
      </c>
      <c r="E74" s="5" t="s">
        <v>250</v>
      </c>
      <c r="F74" s="5" t="s">
        <v>596</v>
      </c>
      <c r="G74" s="4"/>
      <c r="H74" s="5"/>
      <c r="I74" s="5"/>
      <c r="J74" s="10" t="s">
        <v>270</v>
      </c>
      <c r="K74" s="10" t="s">
        <v>270</v>
      </c>
      <c r="L74" s="8" t="s">
        <v>255</v>
      </c>
      <c r="M74" s="5" t="s">
        <v>219</v>
      </c>
      <c r="N74" s="5" t="s">
        <v>74</v>
      </c>
      <c r="O74" s="5" t="s">
        <v>597</v>
      </c>
    </row>
    <row r="75" spans="1:15" ht="18" hidden="1" customHeight="1" x14ac:dyDescent="0.3">
      <c r="A75" s="2" t="s">
        <v>598</v>
      </c>
      <c r="B75" s="3" t="s">
        <v>599</v>
      </c>
      <c r="C75" s="2" t="s">
        <v>595</v>
      </c>
      <c r="D75" s="2" t="s">
        <v>249</v>
      </c>
      <c r="E75" s="3" t="s">
        <v>250</v>
      </c>
      <c r="F75" s="3" t="s">
        <v>600</v>
      </c>
      <c r="G75" s="2" t="s">
        <v>491</v>
      </c>
      <c r="H75" s="3" t="s">
        <v>601</v>
      </c>
      <c r="I75" s="3" t="s">
        <v>602</v>
      </c>
      <c r="J75" s="9" t="s">
        <v>270</v>
      </c>
      <c r="K75" s="9" t="s">
        <v>270</v>
      </c>
      <c r="L75" s="7" t="s">
        <v>255</v>
      </c>
      <c r="M75" s="3" t="s">
        <v>219</v>
      </c>
      <c r="N75" s="3" t="s">
        <v>74</v>
      </c>
      <c r="O75" s="3"/>
    </row>
    <row r="76" spans="1:15" ht="18" hidden="1" customHeight="1" x14ac:dyDescent="0.3">
      <c r="A76" s="4"/>
      <c r="B76" s="5" t="s">
        <v>603</v>
      </c>
      <c r="C76" s="4" t="s">
        <v>595</v>
      </c>
      <c r="D76" s="4" t="s">
        <v>249</v>
      </c>
      <c r="E76" s="5" t="s">
        <v>250</v>
      </c>
      <c r="F76" s="5" t="s">
        <v>604</v>
      </c>
      <c r="G76" s="4"/>
      <c r="H76" s="5"/>
      <c r="I76" s="5" t="s">
        <v>448</v>
      </c>
      <c r="J76" s="10" t="s">
        <v>270</v>
      </c>
      <c r="K76" s="8" t="s">
        <v>255</v>
      </c>
      <c r="L76" s="8" t="s">
        <v>255</v>
      </c>
      <c r="M76" s="5" t="s">
        <v>219</v>
      </c>
      <c r="N76" s="5" t="s">
        <v>74</v>
      </c>
      <c r="O76" s="5"/>
    </row>
    <row r="77" spans="1:15" ht="18" hidden="1" customHeight="1" x14ac:dyDescent="0.3">
      <c r="A77" s="2" t="s">
        <v>605</v>
      </c>
      <c r="B77" s="3" t="s">
        <v>606</v>
      </c>
      <c r="C77" s="2" t="s">
        <v>595</v>
      </c>
      <c r="D77" s="2" t="s">
        <v>249</v>
      </c>
      <c r="E77" s="3" t="s">
        <v>250</v>
      </c>
      <c r="F77" s="3" t="s">
        <v>607</v>
      </c>
      <c r="G77" s="2" t="s">
        <v>491</v>
      </c>
      <c r="H77" s="3" t="s">
        <v>601</v>
      </c>
      <c r="I77" s="3" t="s">
        <v>608</v>
      </c>
      <c r="J77" s="9" t="s">
        <v>270</v>
      </c>
      <c r="K77" s="9" t="s">
        <v>270</v>
      </c>
      <c r="L77" s="9" t="s">
        <v>270</v>
      </c>
      <c r="M77" s="3" t="s">
        <v>219</v>
      </c>
      <c r="N77" s="3" t="s">
        <v>74</v>
      </c>
      <c r="O77" s="3"/>
    </row>
    <row r="78" spans="1:15" ht="18" hidden="1" customHeight="1" x14ac:dyDescent="0.3">
      <c r="A78" s="4"/>
      <c r="B78" s="5" t="s">
        <v>609</v>
      </c>
      <c r="C78" s="4" t="s">
        <v>595</v>
      </c>
      <c r="D78" s="4" t="s">
        <v>249</v>
      </c>
      <c r="E78" s="5" t="s">
        <v>250</v>
      </c>
      <c r="F78" s="5" t="s">
        <v>610</v>
      </c>
      <c r="G78" s="4"/>
      <c r="H78" s="5"/>
      <c r="I78" s="5" t="s">
        <v>448</v>
      </c>
      <c r="J78" s="10" t="s">
        <v>270</v>
      </c>
      <c r="K78" s="8" t="s">
        <v>255</v>
      </c>
      <c r="L78" s="8" t="s">
        <v>255</v>
      </c>
      <c r="M78" s="5" t="s">
        <v>219</v>
      </c>
      <c r="N78" s="5" t="s">
        <v>74</v>
      </c>
      <c r="O78" s="5"/>
    </row>
    <row r="79" spans="1:15" ht="18" hidden="1" customHeight="1" x14ac:dyDescent="0.3">
      <c r="A79" s="2" t="s">
        <v>611</v>
      </c>
      <c r="B79" s="3" t="s">
        <v>612</v>
      </c>
      <c r="C79" s="2" t="s">
        <v>595</v>
      </c>
      <c r="D79" s="2" t="s">
        <v>249</v>
      </c>
      <c r="E79" s="3" t="s">
        <v>250</v>
      </c>
      <c r="F79" s="3" t="s">
        <v>613</v>
      </c>
      <c r="G79" s="2" t="s">
        <v>491</v>
      </c>
      <c r="H79" s="3" t="s">
        <v>601</v>
      </c>
      <c r="I79" s="3" t="s">
        <v>614</v>
      </c>
      <c r="J79" s="9" t="s">
        <v>270</v>
      </c>
      <c r="K79" s="7" t="s">
        <v>255</v>
      </c>
      <c r="L79" s="7" t="s">
        <v>255</v>
      </c>
      <c r="M79" s="3" t="s">
        <v>219</v>
      </c>
      <c r="N79" s="3" t="s">
        <v>74</v>
      </c>
      <c r="O79" s="3"/>
    </row>
    <row r="80" spans="1:15" ht="18" hidden="1" customHeight="1" x14ac:dyDescent="0.3">
      <c r="A80" s="4"/>
      <c r="B80" s="5" t="s">
        <v>615</v>
      </c>
      <c r="C80" s="4" t="s">
        <v>595</v>
      </c>
      <c r="D80" s="4" t="s">
        <v>336</v>
      </c>
      <c r="E80" s="5" t="s">
        <v>250</v>
      </c>
      <c r="F80" s="5" t="s">
        <v>616</v>
      </c>
      <c r="G80" s="4"/>
      <c r="H80" s="5"/>
      <c r="I80" s="5"/>
      <c r="J80" s="10" t="s">
        <v>270</v>
      </c>
      <c r="K80" s="8" t="s">
        <v>255</v>
      </c>
      <c r="L80" s="8" t="s">
        <v>255</v>
      </c>
      <c r="M80" s="5" t="s">
        <v>219</v>
      </c>
      <c r="N80" s="5" t="s">
        <v>74</v>
      </c>
      <c r="O80" s="5" t="s">
        <v>597</v>
      </c>
    </row>
    <row r="81" spans="1:15" ht="18" hidden="1" customHeight="1" x14ac:dyDescent="0.3">
      <c r="A81" s="2"/>
      <c r="B81" s="3" t="s">
        <v>617</v>
      </c>
      <c r="C81" s="2" t="s">
        <v>595</v>
      </c>
      <c r="D81" s="2" t="s">
        <v>249</v>
      </c>
      <c r="E81" s="3" t="s">
        <v>250</v>
      </c>
      <c r="F81" s="3" t="s">
        <v>618</v>
      </c>
      <c r="G81" s="2"/>
      <c r="H81" s="3"/>
      <c r="I81" s="3" t="s">
        <v>448</v>
      </c>
      <c r="J81" s="9" t="s">
        <v>270</v>
      </c>
      <c r="K81" s="7" t="s">
        <v>255</v>
      </c>
      <c r="L81" s="7" t="s">
        <v>255</v>
      </c>
      <c r="M81" s="3" t="s">
        <v>219</v>
      </c>
      <c r="N81" s="3" t="s">
        <v>74</v>
      </c>
      <c r="O81" s="3"/>
    </row>
    <row r="82" spans="1:15" ht="18" hidden="1" customHeight="1" x14ac:dyDescent="0.3">
      <c r="A82" s="4"/>
      <c r="B82" s="5" t="s">
        <v>619</v>
      </c>
      <c r="C82" s="4" t="s">
        <v>595</v>
      </c>
      <c r="D82" s="4" t="s">
        <v>249</v>
      </c>
      <c r="E82" s="5" t="s">
        <v>250</v>
      </c>
      <c r="F82" s="5" t="s">
        <v>620</v>
      </c>
      <c r="G82" s="4"/>
      <c r="H82" s="5"/>
      <c r="I82" s="5" t="s">
        <v>448</v>
      </c>
      <c r="J82" s="10" t="s">
        <v>270</v>
      </c>
      <c r="K82" s="8" t="s">
        <v>255</v>
      </c>
      <c r="L82" s="8" t="s">
        <v>255</v>
      </c>
      <c r="M82" s="5" t="s">
        <v>219</v>
      </c>
      <c r="N82" s="5" t="s">
        <v>74</v>
      </c>
      <c r="O82" s="5"/>
    </row>
    <row r="83" spans="1:15" ht="18" hidden="1" customHeight="1" x14ac:dyDescent="0.3">
      <c r="A83" s="2" t="s">
        <v>621</v>
      </c>
      <c r="B83" s="3" t="s">
        <v>622</v>
      </c>
      <c r="C83" s="2" t="s">
        <v>595</v>
      </c>
      <c r="D83" s="2" t="s">
        <v>249</v>
      </c>
      <c r="E83" s="3" t="s">
        <v>250</v>
      </c>
      <c r="F83" s="3" t="s">
        <v>623</v>
      </c>
      <c r="G83" s="2" t="s">
        <v>252</v>
      </c>
      <c r="H83" s="3" t="s">
        <v>624</v>
      </c>
      <c r="I83" s="3" t="s">
        <v>625</v>
      </c>
      <c r="J83" s="9" t="s">
        <v>270</v>
      </c>
      <c r="K83" s="7" t="s">
        <v>255</v>
      </c>
      <c r="L83" s="7" t="s">
        <v>255</v>
      </c>
      <c r="M83" s="3" t="s">
        <v>219</v>
      </c>
      <c r="N83" s="3" t="s">
        <v>74</v>
      </c>
      <c r="O83" s="3"/>
    </row>
    <row r="84" spans="1:15" ht="18" hidden="1" customHeight="1" x14ac:dyDescent="0.3">
      <c r="A84" s="4"/>
      <c r="B84" s="5" t="s">
        <v>626</v>
      </c>
      <c r="C84" s="4" t="s">
        <v>542</v>
      </c>
      <c r="D84" s="4" t="s">
        <v>336</v>
      </c>
      <c r="E84" s="5" t="s">
        <v>250</v>
      </c>
      <c r="F84" s="5" t="s">
        <v>627</v>
      </c>
      <c r="G84" s="4"/>
      <c r="H84" s="5"/>
      <c r="I84" s="5"/>
      <c r="J84" s="10" t="s">
        <v>270</v>
      </c>
      <c r="K84" s="8" t="s">
        <v>255</v>
      </c>
      <c r="L84" s="8" t="s">
        <v>255</v>
      </c>
      <c r="M84" s="5" t="s">
        <v>219</v>
      </c>
      <c r="N84" s="5" t="s">
        <v>74</v>
      </c>
      <c r="O84" s="5" t="s">
        <v>597</v>
      </c>
    </row>
    <row r="85" spans="1:15" ht="18" hidden="1" customHeight="1" x14ac:dyDescent="0.3">
      <c r="A85" s="2"/>
      <c r="B85" s="3" t="s">
        <v>628</v>
      </c>
      <c r="C85" s="2" t="s">
        <v>595</v>
      </c>
      <c r="D85" s="2" t="s">
        <v>336</v>
      </c>
      <c r="E85" s="3" t="s">
        <v>250</v>
      </c>
      <c r="F85" s="3" t="s">
        <v>629</v>
      </c>
      <c r="G85" s="2"/>
      <c r="H85" s="3"/>
      <c r="I85" s="3"/>
      <c r="J85" s="9" t="s">
        <v>270</v>
      </c>
      <c r="K85" s="7" t="s">
        <v>255</v>
      </c>
      <c r="L85" s="7" t="s">
        <v>255</v>
      </c>
      <c r="M85" s="3" t="s">
        <v>219</v>
      </c>
      <c r="N85" s="3" t="s">
        <v>74</v>
      </c>
      <c r="O85" s="3" t="s">
        <v>597</v>
      </c>
    </row>
    <row r="86" spans="1:15" ht="18" hidden="1" customHeight="1" x14ac:dyDescent="0.3">
      <c r="A86" s="4"/>
      <c r="B86" s="5" t="s">
        <v>630</v>
      </c>
      <c r="C86" s="4" t="s">
        <v>595</v>
      </c>
      <c r="D86" s="4" t="s">
        <v>249</v>
      </c>
      <c r="E86" s="5" t="s">
        <v>250</v>
      </c>
      <c r="F86" s="5" t="s">
        <v>274</v>
      </c>
      <c r="G86" s="4"/>
      <c r="H86" s="5"/>
      <c r="I86" s="5" t="s">
        <v>448</v>
      </c>
      <c r="J86" s="10" t="s">
        <v>270</v>
      </c>
      <c r="K86" s="8" t="s">
        <v>255</v>
      </c>
      <c r="L86" s="8" t="s">
        <v>255</v>
      </c>
      <c r="M86" s="5" t="s">
        <v>219</v>
      </c>
      <c r="N86" s="5" t="s">
        <v>74</v>
      </c>
      <c r="O86" s="5"/>
    </row>
    <row r="87" spans="1:15" ht="18" hidden="1" customHeight="1" x14ac:dyDescent="0.3">
      <c r="A87" s="2"/>
      <c r="B87" s="3" t="s">
        <v>631</v>
      </c>
      <c r="C87" s="2" t="s">
        <v>595</v>
      </c>
      <c r="D87" s="2" t="s">
        <v>249</v>
      </c>
      <c r="E87" s="3" t="s">
        <v>250</v>
      </c>
      <c r="F87" s="3" t="s">
        <v>632</v>
      </c>
      <c r="G87" s="2"/>
      <c r="H87" s="3"/>
      <c r="I87" s="3" t="s">
        <v>448</v>
      </c>
      <c r="J87" s="9" t="s">
        <v>270</v>
      </c>
      <c r="K87" s="7" t="s">
        <v>255</v>
      </c>
      <c r="L87" s="7" t="s">
        <v>255</v>
      </c>
      <c r="M87" s="3" t="s">
        <v>219</v>
      </c>
      <c r="N87" s="3" t="s">
        <v>74</v>
      </c>
      <c r="O87" s="3"/>
    </row>
    <row r="88" spans="1:15" ht="18" hidden="1" customHeight="1" x14ac:dyDescent="0.3">
      <c r="A88" s="4" t="s">
        <v>633</v>
      </c>
      <c r="B88" s="5" t="s">
        <v>634</v>
      </c>
      <c r="C88" s="4" t="s">
        <v>635</v>
      </c>
      <c r="D88" s="4" t="s">
        <v>249</v>
      </c>
      <c r="E88" s="5" t="s">
        <v>37</v>
      </c>
      <c r="F88" s="5"/>
      <c r="G88" s="4" t="s">
        <v>252</v>
      </c>
      <c r="H88" s="5" t="s">
        <v>636</v>
      </c>
      <c r="I88" s="5" t="s">
        <v>637</v>
      </c>
      <c r="J88" s="10" t="s">
        <v>270</v>
      </c>
      <c r="K88" s="10" t="s">
        <v>270</v>
      </c>
      <c r="L88" s="10" t="s">
        <v>270</v>
      </c>
      <c r="M88" s="5" t="s">
        <v>112</v>
      </c>
      <c r="N88" s="5" t="s">
        <v>638</v>
      </c>
      <c r="O88" s="5"/>
    </row>
    <row r="89" spans="1:15" ht="18" hidden="1" customHeight="1" x14ac:dyDescent="0.3">
      <c r="A89" s="2" t="s">
        <v>639</v>
      </c>
      <c r="B89" s="3" t="s">
        <v>638</v>
      </c>
      <c r="C89" s="2" t="s">
        <v>635</v>
      </c>
      <c r="D89" s="2" t="s">
        <v>249</v>
      </c>
      <c r="E89" s="3" t="s">
        <v>37</v>
      </c>
      <c r="F89" s="3"/>
      <c r="G89" s="2" t="s">
        <v>252</v>
      </c>
      <c r="H89" s="3" t="s">
        <v>636</v>
      </c>
      <c r="I89" s="3" t="s">
        <v>640</v>
      </c>
      <c r="J89" s="9" t="s">
        <v>270</v>
      </c>
      <c r="K89" s="9" t="s">
        <v>270</v>
      </c>
      <c r="L89" s="7" t="s">
        <v>255</v>
      </c>
      <c r="M89" s="3" t="s">
        <v>112</v>
      </c>
      <c r="N89" s="3" t="s">
        <v>638</v>
      </c>
      <c r="O89" s="3"/>
    </row>
    <row r="90" spans="1:15" ht="18" hidden="1" customHeight="1" x14ac:dyDescent="0.3">
      <c r="A90" s="4" t="s">
        <v>410</v>
      </c>
      <c r="B90" s="5" t="s">
        <v>411</v>
      </c>
      <c r="C90" s="4" t="s">
        <v>641</v>
      </c>
      <c r="D90" s="4" t="s">
        <v>249</v>
      </c>
      <c r="E90" s="5" t="s">
        <v>119</v>
      </c>
      <c r="F90" s="5"/>
      <c r="G90" s="4" t="s">
        <v>260</v>
      </c>
      <c r="H90" s="5" t="s">
        <v>642</v>
      </c>
      <c r="I90" s="5" t="s">
        <v>643</v>
      </c>
      <c r="J90" s="8" t="s">
        <v>255</v>
      </c>
      <c r="K90" s="10" t="s">
        <v>270</v>
      </c>
      <c r="L90" s="8" t="s">
        <v>255</v>
      </c>
      <c r="M90" s="5" t="s">
        <v>124</v>
      </c>
      <c r="N90" s="5" t="s">
        <v>411</v>
      </c>
      <c r="O90" s="5"/>
    </row>
    <row r="91" spans="1:15" ht="18" hidden="1" customHeight="1" x14ac:dyDescent="0.3">
      <c r="A91" s="2" t="s">
        <v>339</v>
      </c>
      <c r="B91" s="3" t="s">
        <v>644</v>
      </c>
      <c r="C91" s="2" t="s">
        <v>645</v>
      </c>
      <c r="D91" s="2" t="s">
        <v>249</v>
      </c>
      <c r="E91" s="3" t="s">
        <v>37</v>
      </c>
      <c r="F91" s="3"/>
      <c r="G91" s="2" t="s">
        <v>312</v>
      </c>
      <c r="H91" s="3" t="s">
        <v>646</v>
      </c>
      <c r="I91" s="3" t="s">
        <v>338</v>
      </c>
      <c r="J91" s="9" t="s">
        <v>270</v>
      </c>
      <c r="K91" s="9" t="s">
        <v>270</v>
      </c>
      <c r="L91" s="7" t="s">
        <v>255</v>
      </c>
      <c r="M91" s="3" t="s">
        <v>112</v>
      </c>
      <c r="N91" s="3" t="s">
        <v>340</v>
      </c>
      <c r="O91" s="3"/>
    </row>
    <row r="92" spans="1:15" ht="18" hidden="1" customHeight="1" x14ac:dyDescent="0.3">
      <c r="A92" s="4"/>
      <c r="B92" s="5" t="s">
        <v>647</v>
      </c>
      <c r="C92" s="4" t="s">
        <v>648</v>
      </c>
      <c r="D92" s="4" t="s">
        <v>249</v>
      </c>
      <c r="E92" s="5" t="s">
        <v>250</v>
      </c>
      <c r="F92" s="5"/>
      <c r="G92" s="4" t="s">
        <v>260</v>
      </c>
      <c r="H92" s="5" t="s">
        <v>649</v>
      </c>
      <c r="I92" s="5" t="s">
        <v>292</v>
      </c>
      <c r="J92" s="10" t="s">
        <v>270</v>
      </c>
      <c r="K92" s="10" t="s">
        <v>270</v>
      </c>
      <c r="L92" s="8" t="s">
        <v>255</v>
      </c>
      <c r="M92" s="5" t="s">
        <v>112</v>
      </c>
      <c r="N92" s="5" t="s">
        <v>647</v>
      </c>
      <c r="O92" s="5"/>
    </row>
    <row r="93" spans="1:15" ht="18" hidden="1" customHeight="1" x14ac:dyDescent="0.3">
      <c r="A93" s="2" t="s">
        <v>650</v>
      </c>
      <c r="B93" s="3" t="s">
        <v>651</v>
      </c>
      <c r="C93" s="2" t="s">
        <v>652</v>
      </c>
      <c r="D93" s="2" t="s">
        <v>249</v>
      </c>
      <c r="E93" s="3" t="s">
        <v>85</v>
      </c>
      <c r="F93" s="3" t="s">
        <v>268</v>
      </c>
      <c r="G93" s="2" t="s">
        <v>252</v>
      </c>
      <c r="H93" s="3" t="s">
        <v>320</v>
      </c>
      <c r="I93" s="3" t="s">
        <v>460</v>
      </c>
      <c r="J93" s="9" t="s">
        <v>270</v>
      </c>
      <c r="K93" s="9" t="s">
        <v>270</v>
      </c>
      <c r="L93" s="7" t="s">
        <v>255</v>
      </c>
      <c r="M93" s="3" t="s">
        <v>82</v>
      </c>
      <c r="N93" s="3" t="s">
        <v>651</v>
      </c>
      <c r="O93" s="3"/>
    </row>
    <row r="94" spans="1:15" ht="18" hidden="1" customHeight="1" x14ac:dyDescent="0.3">
      <c r="A94" s="4"/>
      <c r="B94" s="5" t="s">
        <v>653</v>
      </c>
      <c r="C94" s="4" t="s">
        <v>654</v>
      </c>
      <c r="D94" s="4" t="s">
        <v>249</v>
      </c>
      <c r="E94" s="5"/>
      <c r="F94" s="5" t="s">
        <v>268</v>
      </c>
      <c r="G94" s="4" t="s">
        <v>312</v>
      </c>
      <c r="H94" s="5" t="s">
        <v>655</v>
      </c>
      <c r="I94" s="5" t="s">
        <v>656</v>
      </c>
      <c r="J94" s="10" t="s">
        <v>270</v>
      </c>
      <c r="K94" s="10" t="s">
        <v>270</v>
      </c>
      <c r="L94" s="8" t="s">
        <v>255</v>
      </c>
      <c r="M94" s="5" t="s">
        <v>124</v>
      </c>
      <c r="N94" s="5" t="s">
        <v>657</v>
      </c>
      <c r="O94" s="5"/>
    </row>
    <row r="95" spans="1:15" ht="18" hidden="1" customHeight="1" x14ac:dyDescent="0.3">
      <c r="A95" s="2"/>
      <c r="B95" s="3" t="s">
        <v>58</v>
      </c>
      <c r="C95" s="2" t="s">
        <v>658</v>
      </c>
      <c r="D95" s="2" t="s">
        <v>249</v>
      </c>
      <c r="E95" s="3" t="s">
        <v>250</v>
      </c>
      <c r="F95" s="3"/>
      <c r="G95" s="2" t="s">
        <v>252</v>
      </c>
      <c r="H95" s="3" t="s">
        <v>659</v>
      </c>
      <c r="I95" s="3" t="s">
        <v>405</v>
      </c>
      <c r="J95" s="9" t="s">
        <v>270</v>
      </c>
      <c r="K95" s="9" t="s">
        <v>270</v>
      </c>
      <c r="L95" s="7" t="s">
        <v>255</v>
      </c>
      <c r="M95" s="3" t="s">
        <v>124</v>
      </c>
      <c r="N95" s="3" t="s">
        <v>520</v>
      </c>
      <c r="O95" s="3"/>
    </row>
    <row r="96" spans="1:15" ht="18" customHeight="1" x14ac:dyDescent="0.3">
      <c r="A96" s="4"/>
      <c r="B96" s="5" t="s">
        <v>188</v>
      </c>
      <c r="C96" s="4" t="s">
        <v>660</v>
      </c>
      <c r="D96" s="4" t="s">
        <v>249</v>
      </c>
      <c r="E96" s="5" t="s">
        <v>94</v>
      </c>
      <c r="F96" s="5" t="s">
        <v>268</v>
      </c>
      <c r="G96" s="4" t="s">
        <v>252</v>
      </c>
      <c r="H96" s="5" t="s">
        <v>659</v>
      </c>
      <c r="I96" s="5" t="s">
        <v>661</v>
      </c>
      <c r="J96" s="10" t="s">
        <v>270</v>
      </c>
      <c r="K96" s="10" t="s">
        <v>270</v>
      </c>
      <c r="L96" s="8" t="s">
        <v>255</v>
      </c>
      <c r="M96" s="5" t="s">
        <v>124</v>
      </c>
      <c r="N96" s="5" t="s">
        <v>188</v>
      </c>
      <c r="O96" s="5"/>
    </row>
    <row r="97" spans="1:15" ht="18" hidden="1" customHeight="1" x14ac:dyDescent="0.3">
      <c r="A97" s="2" t="s">
        <v>662</v>
      </c>
      <c r="B97" s="3" t="s">
        <v>663</v>
      </c>
      <c r="C97" s="2" t="s">
        <v>664</v>
      </c>
      <c r="D97" s="2" t="s">
        <v>249</v>
      </c>
      <c r="E97" s="3" t="s">
        <v>119</v>
      </c>
      <c r="F97" s="3" t="s">
        <v>268</v>
      </c>
      <c r="G97" s="2" t="s">
        <v>491</v>
      </c>
      <c r="H97" s="3" t="s">
        <v>291</v>
      </c>
      <c r="I97" s="3" t="s">
        <v>665</v>
      </c>
      <c r="J97" s="9" t="s">
        <v>270</v>
      </c>
      <c r="K97" s="9" t="s">
        <v>270</v>
      </c>
      <c r="L97" s="7" t="s">
        <v>255</v>
      </c>
      <c r="M97" s="3" t="s">
        <v>124</v>
      </c>
      <c r="N97" s="3" t="s">
        <v>663</v>
      </c>
      <c r="O97" s="3"/>
    </row>
    <row r="98" spans="1:15" ht="18" hidden="1" customHeight="1" x14ac:dyDescent="0.3">
      <c r="A98" s="4" t="s">
        <v>666</v>
      </c>
      <c r="B98" s="5" t="s">
        <v>667</v>
      </c>
      <c r="C98" s="4" t="s">
        <v>668</v>
      </c>
      <c r="D98" s="4" t="s">
        <v>249</v>
      </c>
      <c r="E98" s="5" t="s">
        <v>32</v>
      </c>
      <c r="F98" s="5"/>
      <c r="G98" s="4" t="s">
        <v>569</v>
      </c>
      <c r="H98" s="5" t="s">
        <v>669</v>
      </c>
      <c r="I98" s="5" t="s">
        <v>670</v>
      </c>
      <c r="J98" s="10" t="s">
        <v>270</v>
      </c>
      <c r="K98" s="10" t="s">
        <v>270</v>
      </c>
      <c r="L98" s="8" t="s">
        <v>255</v>
      </c>
      <c r="M98" s="5" t="s">
        <v>112</v>
      </c>
      <c r="N98" s="5" t="s">
        <v>671</v>
      </c>
      <c r="O98" s="5"/>
    </row>
    <row r="99" spans="1:15" ht="18" hidden="1" customHeight="1" x14ac:dyDescent="0.3">
      <c r="A99" s="2"/>
      <c r="B99" s="3" t="s">
        <v>672</v>
      </c>
      <c r="C99" s="2" t="s">
        <v>673</v>
      </c>
      <c r="D99" s="2" t="s">
        <v>249</v>
      </c>
      <c r="E99" s="3" t="s">
        <v>674</v>
      </c>
      <c r="F99" s="3" t="s">
        <v>268</v>
      </c>
      <c r="G99" s="2" t="s">
        <v>312</v>
      </c>
      <c r="H99" s="3" t="s">
        <v>675</v>
      </c>
      <c r="I99" s="3" t="s">
        <v>676</v>
      </c>
      <c r="J99" s="9" t="s">
        <v>270</v>
      </c>
      <c r="K99" s="9" t="s">
        <v>270</v>
      </c>
      <c r="L99" s="7" t="s">
        <v>255</v>
      </c>
      <c r="M99" s="3" t="s">
        <v>124</v>
      </c>
      <c r="N99" s="3" t="s">
        <v>672</v>
      </c>
      <c r="O99" s="3"/>
    </row>
    <row r="100" spans="1:15" ht="18" hidden="1" customHeight="1" x14ac:dyDescent="0.3">
      <c r="A100" s="4" t="s">
        <v>677</v>
      </c>
      <c r="B100" s="5" t="s">
        <v>185</v>
      </c>
      <c r="C100" s="4" t="s">
        <v>678</v>
      </c>
      <c r="D100" s="4" t="s">
        <v>249</v>
      </c>
      <c r="E100" s="5" t="s">
        <v>73</v>
      </c>
      <c r="F100" s="5"/>
      <c r="G100" s="4" t="s">
        <v>312</v>
      </c>
      <c r="H100" s="5" t="s">
        <v>679</v>
      </c>
      <c r="I100" s="5" t="s">
        <v>525</v>
      </c>
      <c r="J100" s="10" t="s">
        <v>270</v>
      </c>
      <c r="K100" s="10" t="s">
        <v>270</v>
      </c>
      <c r="L100" s="8" t="s">
        <v>255</v>
      </c>
      <c r="M100" s="5" t="s">
        <v>520</v>
      </c>
      <c r="N100" s="5" t="s">
        <v>520</v>
      </c>
      <c r="O100" s="5"/>
    </row>
    <row r="101" spans="1:15" ht="18" hidden="1" customHeight="1" x14ac:dyDescent="0.3">
      <c r="A101" s="2" t="s">
        <v>541</v>
      </c>
      <c r="B101" s="3" t="s">
        <v>109</v>
      </c>
      <c r="C101" s="2" t="s">
        <v>678</v>
      </c>
      <c r="D101" s="2" t="s">
        <v>249</v>
      </c>
      <c r="E101" s="3" t="s">
        <v>267</v>
      </c>
      <c r="F101" s="3"/>
      <c r="G101" s="2" t="s">
        <v>680</v>
      </c>
      <c r="H101" s="3" t="s">
        <v>681</v>
      </c>
      <c r="I101" s="3" t="s">
        <v>448</v>
      </c>
      <c r="J101" s="9" t="s">
        <v>270</v>
      </c>
      <c r="K101" s="9" t="s">
        <v>270</v>
      </c>
      <c r="L101" s="7" t="s">
        <v>255</v>
      </c>
      <c r="M101" s="3" t="s">
        <v>520</v>
      </c>
      <c r="N101" s="3" t="s">
        <v>520</v>
      </c>
      <c r="O101" s="3"/>
    </row>
    <row r="102" spans="1:15" ht="18" hidden="1" customHeight="1" x14ac:dyDescent="0.3">
      <c r="A102" s="4" t="s">
        <v>519</v>
      </c>
      <c r="B102" s="5" t="s">
        <v>520</v>
      </c>
      <c r="C102" s="4" t="s">
        <v>682</v>
      </c>
      <c r="D102" s="4" t="s">
        <v>249</v>
      </c>
      <c r="E102" s="5" t="s">
        <v>523</v>
      </c>
      <c r="F102" s="5"/>
      <c r="G102" s="4" t="s">
        <v>491</v>
      </c>
      <c r="H102" s="5" t="s">
        <v>578</v>
      </c>
      <c r="I102" s="5" t="s">
        <v>683</v>
      </c>
      <c r="J102" s="10" t="s">
        <v>270</v>
      </c>
      <c r="K102" s="10" t="s">
        <v>270</v>
      </c>
      <c r="L102" s="8" t="s">
        <v>255</v>
      </c>
      <c r="M102" s="5" t="s">
        <v>520</v>
      </c>
      <c r="N102" s="5" t="s">
        <v>520</v>
      </c>
      <c r="O102" s="5"/>
    </row>
    <row r="103" spans="1:15" ht="18" hidden="1" customHeight="1" x14ac:dyDescent="0.3">
      <c r="A103" s="2"/>
      <c r="B103" s="3" t="s">
        <v>684</v>
      </c>
      <c r="C103" s="2" t="s">
        <v>685</v>
      </c>
      <c r="D103" s="2" t="s">
        <v>249</v>
      </c>
      <c r="E103" s="3" t="s">
        <v>686</v>
      </c>
      <c r="F103" s="3"/>
      <c r="G103" s="2" t="s">
        <v>687</v>
      </c>
      <c r="H103" s="3" t="s">
        <v>688</v>
      </c>
      <c r="I103" s="3" t="s">
        <v>689</v>
      </c>
      <c r="J103" s="9" t="s">
        <v>270</v>
      </c>
      <c r="K103" s="9" t="s">
        <v>270</v>
      </c>
      <c r="L103" s="7" t="s">
        <v>255</v>
      </c>
      <c r="M103" s="3" t="s">
        <v>112</v>
      </c>
      <c r="N103" s="3" t="s">
        <v>684</v>
      </c>
      <c r="O103" s="3"/>
    </row>
    <row r="104" spans="1:15" ht="18" hidden="1" customHeight="1" x14ac:dyDescent="0.3">
      <c r="A104" s="4"/>
      <c r="B104" s="5" t="s">
        <v>690</v>
      </c>
      <c r="C104" s="4" t="s">
        <v>691</v>
      </c>
      <c r="D104" s="4" t="s">
        <v>249</v>
      </c>
      <c r="E104" s="5" t="s">
        <v>267</v>
      </c>
      <c r="F104" s="5"/>
      <c r="G104" s="4" t="s">
        <v>260</v>
      </c>
      <c r="H104" s="5" t="s">
        <v>642</v>
      </c>
      <c r="I104" s="5" t="s">
        <v>544</v>
      </c>
      <c r="J104" s="10" t="s">
        <v>270</v>
      </c>
      <c r="K104" s="10" t="s">
        <v>270</v>
      </c>
      <c r="L104" s="8" t="s">
        <v>255</v>
      </c>
      <c r="M104" s="5" t="s">
        <v>124</v>
      </c>
      <c r="N104" s="5" t="s">
        <v>692</v>
      </c>
      <c r="O104" s="5" t="s">
        <v>693</v>
      </c>
    </row>
    <row r="105" spans="1:15" ht="18" hidden="1" customHeight="1" x14ac:dyDescent="0.3">
      <c r="A105" s="2"/>
      <c r="B105" s="3" t="s">
        <v>230</v>
      </c>
      <c r="C105" s="2" t="s">
        <v>694</v>
      </c>
      <c r="D105" s="2" t="s">
        <v>249</v>
      </c>
      <c r="E105" s="3" t="s">
        <v>85</v>
      </c>
      <c r="F105" s="3"/>
      <c r="G105" s="2" t="s">
        <v>312</v>
      </c>
      <c r="H105" s="3" t="s">
        <v>695</v>
      </c>
      <c r="I105" s="3" t="s">
        <v>670</v>
      </c>
      <c r="J105" s="9" t="s">
        <v>270</v>
      </c>
      <c r="K105" s="9" t="s">
        <v>270</v>
      </c>
      <c r="L105" s="7" t="s">
        <v>255</v>
      </c>
      <c r="M105" s="3" t="s">
        <v>124</v>
      </c>
      <c r="N105" s="3" t="s">
        <v>230</v>
      </c>
      <c r="O105" s="3"/>
    </row>
    <row r="106" spans="1:15" ht="18" hidden="1" customHeight="1" x14ac:dyDescent="0.3">
      <c r="A106" s="4" t="s">
        <v>696</v>
      </c>
      <c r="B106" s="5" t="s">
        <v>697</v>
      </c>
      <c r="C106" s="4" t="s">
        <v>698</v>
      </c>
      <c r="D106" s="4" t="s">
        <v>249</v>
      </c>
      <c r="E106" s="5" t="s">
        <v>699</v>
      </c>
      <c r="F106" s="5"/>
      <c r="G106" s="4" t="s">
        <v>312</v>
      </c>
      <c r="H106" s="5" t="s">
        <v>700</v>
      </c>
      <c r="I106" s="5" t="s">
        <v>701</v>
      </c>
      <c r="J106" s="10" t="s">
        <v>270</v>
      </c>
      <c r="K106" s="10" t="s">
        <v>270</v>
      </c>
      <c r="L106" s="8" t="s">
        <v>255</v>
      </c>
      <c r="M106" s="5" t="s">
        <v>230</v>
      </c>
      <c r="N106" s="5" t="s">
        <v>95</v>
      </c>
      <c r="O106" s="5"/>
    </row>
    <row r="107" spans="1:15" ht="18" hidden="1" customHeight="1" x14ac:dyDescent="0.3">
      <c r="A107" s="2" t="s">
        <v>702</v>
      </c>
      <c r="B107" s="3" t="s">
        <v>647</v>
      </c>
      <c r="C107" s="2" t="s">
        <v>703</v>
      </c>
      <c r="D107" s="2" t="s">
        <v>249</v>
      </c>
      <c r="E107" s="3" t="s">
        <v>250</v>
      </c>
      <c r="F107" s="3"/>
      <c r="G107" s="2" t="s">
        <v>312</v>
      </c>
      <c r="H107" s="3" t="s">
        <v>704</v>
      </c>
      <c r="I107" s="3" t="s">
        <v>705</v>
      </c>
      <c r="J107" s="9" t="s">
        <v>270</v>
      </c>
      <c r="K107" s="9" t="s">
        <v>270</v>
      </c>
      <c r="L107" s="7" t="s">
        <v>255</v>
      </c>
      <c r="M107" s="3" t="s">
        <v>112</v>
      </c>
      <c r="N107" s="3" t="s">
        <v>647</v>
      </c>
      <c r="O107" s="3"/>
    </row>
    <row r="108" spans="1:15" ht="18" hidden="1" customHeight="1" x14ac:dyDescent="0.3">
      <c r="A108" s="4" t="s">
        <v>706</v>
      </c>
      <c r="B108" s="5" t="s">
        <v>707</v>
      </c>
      <c r="C108" s="4" t="s">
        <v>708</v>
      </c>
      <c r="D108" s="4" t="s">
        <v>249</v>
      </c>
      <c r="E108" s="5" t="s">
        <v>709</v>
      </c>
      <c r="F108" s="5"/>
      <c r="G108" s="4" t="s">
        <v>480</v>
      </c>
      <c r="H108" s="5" t="s">
        <v>710</v>
      </c>
      <c r="I108" s="5" t="s">
        <v>711</v>
      </c>
      <c r="J108" s="10" t="s">
        <v>270</v>
      </c>
      <c r="K108" s="10" t="s">
        <v>270</v>
      </c>
      <c r="L108" s="8" t="s">
        <v>255</v>
      </c>
      <c r="M108" s="5" t="s">
        <v>230</v>
      </c>
      <c r="N108" s="5" t="s">
        <v>712</v>
      </c>
      <c r="O108" s="5"/>
    </row>
    <row r="109" spans="1:15" ht="18" hidden="1" customHeight="1" x14ac:dyDescent="0.3">
      <c r="A109" s="2" t="s">
        <v>572</v>
      </c>
      <c r="B109" s="3" t="s">
        <v>61</v>
      </c>
      <c r="C109" s="2" t="s">
        <v>703</v>
      </c>
      <c r="D109" s="2" t="s">
        <v>249</v>
      </c>
      <c r="E109" s="3" t="s">
        <v>713</v>
      </c>
      <c r="F109" s="3"/>
      <c r="G109" s="2" t="s">
        <v>252</v>
      </c>
      <c r="H109" s="3" t="s">
        <v>714</v>
      </c>
      <c r="I109" s="3" t="s">
        <v>715</v>
      </c>
      <c r="J109" s="9" t="s">
        <v>270</v>
      </c>
      <c r="K109" s="9" t="s">
        <v>270</v>
      </c>
      <c r="L109" s="7" t="s">
        <v>255</v>
      </c>
      <c r="M109" s="3" t="s">
        <v>112</v>
      </c>
      <c r="N109" s="3" t="s">
        <v>61</v>
      </c>
      <c r="O109" s="3"/>
    </row>
    <row r="110" spans="1:15" ht="18" hidden="1" customHeight="1" x14ac:dyDescent="0.3">
      <c r="A110" s="4"/>
      <c r="B110" s="5" t="s">
        <v>74</v>
      </c>
      <c r="C110" s="4" t="s">
        <v>716</v>
      </c>
      <c r="D110" s="4" t="s">
        <v>249</v>
      </c>
      <c r="E110" s="5" t="s">
        <v>250</v>
      </c>
      <c r="F110" s="5"/>
      <c r="G110" s="4" t="s">
        <v>312</v>
      </c>
      <c r="H110" s="5" t="s">
        <v>655</v>
      </c>
      <c r="I110" s="5" t="s">
        <v>656</v>
      </c>
      <c r="J110" s="10" t="s">
        <v>270</v>
      </c>
      <c r="K110" s="10" t="s">
        <v>270</v>
      </c>
      <c r="L110" s="8" t="s">
        <v>255</v>
      </c>
      <c r="M110" s="5" t="s">
        <v>230</v>
      </c>
      <c r="N110" s="5" t="s">
        <v>74</v>
      </c>
      <c r="O110" s="5"/>
    </row>
    <row r="111" spans="1:15" ht="18" hidden="1" customHeight="1" x14ac:dyDescent="0.3">
      <c r="A111" s="2"/>
      <c r="B111" s="3" t="s">
        <v>225</v>
      </c>
      <c r="C111" s="2" t="s">
        <v>717</v>
      </c>
      <c r="D111" s="2" t="s">
        <v>249</v>
      </c>
      <c r="E111" s="3" t="s">
        <v>718</v>
      </c>
      <c r="F111" s="3"/>
      <c r="G111" s="2" t="s">
        <v>260</v>
      </c>
      <c r="H111" s="3" t="s">
        <v>719</v>
      </c>
      <c r="I111" s="3" t="s">
        <v>720</v>
      </c>
      <c r="J111" s="9" t="s">
        <v>270</v>
      </c>
      <c r="K111" s="7" t="s">
        <v>255</v>
      </c>
      <c r="L111" s="7" t="s">
        <v>255</v>
      </c>
      <c r="M111" s="3" t="s">
        <v>124</v>
      </c>
      <c r="N111" s="3" t="s">
        <v>225</v>
      </c>
      <c r="O111" s="3"/>
    </row>
    <row r="112" spans="1:15" ht="18" hidden="1" customHeight="1" x14ac:dyDescent="0.3">
      <c r="A112" s="4" t="s">
        <v>721</v>
      </c>
      <c r="B112" s="5" t="s">
        <v>722</v>
      </c>
      <c r="C112" s="4" t="s">
        <v>723</v>
      </c>
      <c r="D112" s="4" t="s">
        <v>249</v>
      </c>
      <c r="E112" s="5" t="s">
        <v>674</v>
      </c>
      <c r="F112" s="5"/>
      <c r="G112" s="4" t="s">
        <v>312</v>
      </c>
      <c r="H112" s="5" t="s">
        <v>325</v>
      </c>
      <c r="I112" s="5" t="s">
        <v>724</v>
      </c>
      <c r="J112" s="10" t="s">
        <v>270</v>
      </c>
      <c r="K112" s="10" t="s">
        <v>270</v>
      </c>
      <c r="L112" s="8" t="s">
        <v>255</v>
      </c>
      <c r="M112" s="5" t="s">
        <v>230</v>
      </c>
      <c r="N112" s="5" t="s">
        <v>722</v>
      </c>
      <c r="O112" s="5"/>
    </row>
  </sheetData>
  <autoFilter ref="A2:O112" xr:uid="{00000000-0001-0000-0200-000000000000}">
    <filterColumn colId="8">
      <filters>
        <filter val="PF4CA6ZM"/>
      </filters>
    </filterColumn>
  </autoFilter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W111"/>
  <sheetViews>
    <sheetView workbookViewId="0"/>
  </sheetViews>
  <sheetFormatPr baseColWidth="10" defaultColWidth="8.88671875" defaultRowHeight="14.4" x14ac:dyDescent="0.3"/>
  <sheetData>
    <row r="2" spans="1:23" x14ac:dyDescent="0.3">
      <c r="A2" t="s">
        <v>246</v>
      </c>
      <c r="B2" t="s">
        <v>247</v>
      </c>
      <c r="C2" t="s">
        <v>248</v>
      </c>
      <c r="D2" t="s">
        <v>249</v>
      </c>
      <c r="E2" t="s">
        <v>250</v>
      </c>
      <c r="F2" t="s">
        <v>251</v>
      </c>
      <c r="G2" t="s">
        <v>252</v>
      </c>
      <c r="H2" t="s">
        <v>253</v>
      </c>
      <c r="I2" t="s">
        <v>254</v>
      </c>
      <c r="J2" t="s">
        <v>255</v>
      </c>
      <c r="K2" t="s">
        <v>255</v>
      </c>
      <c r="L2" t="s">
        <v>255</v>
      </c>
      <c r="M2" t="s">
        <v>112</v>
      </c>
      <c r="N2" t="s">
        <v>74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W2" t="s">
        <v>32</v>
      </c>
    </row>
    <row r="3" spans="1:23" x14ac:dyDescent="0.3">
      <c r="A3" t="s">
        <v>256</v>
      </c>
      <c r="B3" t="s">
        <v>257</v>
      </c>
      <c r="C3" t="s">
        <v>258</v>
      </c>
      <c r="D3" t="s">
        <v>249</v>
      </c>
      <c r="E3" t="s">
        <v>250</v>
      </c>
      <c r="F3" t="s">
        <v>259</v>
      </c>
      <c r="G3" t="s">
        <v>260</v>
      </c>
      <c r="H3" t="s">
        <v>261</v>
      </c>
      <c r="I3" t="s">
        <v>262</v>
      </c>
      <c r="J3" t="s">
        <v>255</v>
      </c>
      <c r="K3" t="s">
        <v>255</v>
      </c>
      <c r="L3" t="s">
        <v>255</v>
      </c>
      <c r="M3" t="s">
        <v>219</v>
      </c>
      <c r="N3" t="s">
        <v>74</v>
      </c>
      <c r="O3" t="s">
        <v>263</v>
      </c>
      <c r="Q3" t="s">
        <v>33</v>
      </c>
      <c r="R3" t="s">
        <v>34</v>
      </c>
      <c r="S3" t="s">
        <v>29</v>
      </c>
      <c r="T3" t="s">
        <v>35</v>
      </c>
      <c r="U3" t="s">
        <v>36</v>
      </c>
      <c r="W3" t="s">
        <v>37</v>
      </c>
    </row>
    <row r="4" spans="1:23" x14ac:dyDescent="0.3">
      <c r="A4" t="s">
        <v>264</v>
      </c>
      <c r="B4" t="s">
        <v>265</v>
      </c>
      <c r="C4" t="s">
        <v>266</v>
      </c>
      <c r="D4" t="s">
        <v>249</v>
      </c>
      <c r="E4" t="s">
        <v>267</v>
      </c>
      <c r="F4" t="s">
        <v>268</v>
      </c>
      <c r="G4" t="s">
        <v>260</v>
      </c>
      <c r="H4" t="s">
        <v>261</v>
      </c>
      <c r="I4" t="s">
        <v>269</v>
      </c>
      <c r="J4" t="s">
        <v>255</v>
      </c>
      <c r="K4" t="s">
        <v>270</v>
      </c>
      <c r="L4" t="s">
        <v>255</v>
      </c>
      <c r="M4" t="s">
        <v>219</v>
      </c>
      <c r="N4" t="s">
        <v>109</v>
      </c>
      <c r="Q4" t="s">
        <v>38</v>
      </c>
      <c r="R4" t="s">
        <v>39</v>
      </c>
      <c r="S4" t="s">
        <v>29</v>
      </c>
      <c r="T4" t="s">
        <v>40</v>
      </c>
      <c r="U4" t="s">
        <v>41</v>
      </c>
      <c r="W4" t="s">
        <v>37</v>
      </c>
    </row>
    <row r="5" spans="1:23" x14ac:dyDescent="0.3">
      <c r="A5" t="s">
        <v>271</v>
      </c>
      <c r="B5" t="s">
        <v>272</v>
      </c>
      <c r="C5" t="s">
        <v>273</v>
      </c>
      <c r="D5" t="s">
        <v>249</v>
      </c>
      <c r="E5" t="s">
        <v>250</v>
      </c>
      <c r="F5" t="s">
        <v>274</v>
      </c>
      <c r="G5" t="s">
        <v>260</v>
      </c>
      <c r="H5" t="s">
        <v>275</v>
      </c>
      <c r="I5" t="s">
        <v>276</v>
      </c>
      <c r="J5" t="s">
        <v>255</v>
      </c>
      <c r="K5" t="s">
        <v>255</v>
      </c>
      <c r="L5" t="s">
        <v>255</v>
      </c>
      <c r="M5" t="s">
        <v>219</v>
      </c>
      <c r="N5" t="s">
        <v>74</v>
      </c>
      <c r="Q5" t="s">
        <v>42</v>
      </c>
      <c r="R5" t="s">
        <v>43</v>
      </c>
      <c r="S5" t="s">
        <v>29</v>
      </c>
      <c r="T5" t="s">
        <v>44</v>
      </c>
      <c r="U5" t="s">
        <v>45</v>
      </c>
      <c r="W5" t="s">
        <v>46</v>
      </c>
    </row>
    <row r="6" spans="1:23" x14ac:dyDescent="0.3">
      <c r="A6" t="s">
        <v>277</v>
      </c>
      <c r="B6" t="s">
        <v>278</v>
      </c>
      <c r="C6" t="s">
        <v>279</v>
      </c>
      <c r="D6" t="s">
        <v>249</v>
      </c>
      <c r="E6" t="s">
        <v>280</v>
      </c>
      <c r="F6" t="s">
        <v>268</v>
      </c>
      <c r="G6" t="s">
        <v>260</v>
      </c>
      <c r="H6" t="s">
        <v>275</v>
      </c>
      <c r="I6" t="s">
        <v>281</v>
      </c>
      <c r="J6" t="s">
        <v>255</v>
      </c>
      <c r="K6" t="s">
        <v>270</v>
      </c>
      <c r="L6" t="s">
        <v>255</v>
      </c>
      <c r="M6" t="s">
        <v>219</v>
      </c>
      <c r="N6" t="s">
        <v>282</v>
      </c>
      <c r="Q6" t="s">
        <v>47</v>
      </c>
      <c r="R6" t="s">
        <v>48</v>
      </c>
      <c r="S6" t="s">
        <v>29</v>
      </c>
      <c r="T6" t="s">
        <v>30</v>
      </c>
      <c r="U6" t="s">
        <v>49</v>
      </c>
      <c r="W6" t="s">
        <v>50</v>
      </c>
    </row>
    <row r="7" spans="1:23" x14ac:dyDescent="0.3">
      <c r="A7" t="s">
        <v>283</v>
      </c>
      <c r="B7" t="s">
        <v>284</v>
      </c>
      <c r="C7" t="s">
        <v>285</v>
      </c>
      <c r="D7" t="s">
        <v>249</v>
      </c>
      <c r="E7" t="s">
        <v>250</v>
      </c>
      <c r="F7" t="s">
        <v>286</v>
      </c>
      <c r="G7" t="s">
        <v>260</v>
      </c>
      <c r="H7" t="s">
        <v>287</v>
      </c>
      <c r="I7" t="s">
        <v>288</v>
      </c>
      <c r="J7" t="s">
        <v>255</v>
      </c>
      <c r="K7" t="s">
        <v>270</v>
      </c>
      <c r="L7" t="s">
        <v>255</v>
      </c>
      <c r="M7" t="s">
        <v>219</v>
      </c>
      <c r="N7" t="s">
        <v>74</v>
      </c>
      <c r="Q7" t="s">
        <v>51</v>
      </c>
      <c r="R7" t="s">
        <v>52</v>
      </c>
      <c r="S7" t="s">
        <v>29</v>
      </c>
      <c r="T7" t="s">
        <v>30</v>
      </c>
      <c r="U7" t="s">
        <v>53</v>
      </c>
      <c r="W7" t="s">
        <v>54</v>
      </c>
    </row>
    <row r="8" spans="1:23" x14ac:dyDescent="0.3">
      <c r="A8" t="s">
        <v>289</v>
      </c>
      <c r="B8" t="s">
        <v>162</v>
      </c>
      <c r="C8" t="s">
        <v>290</v>
      </c>
      <c r="D8" t="s">
        <v>249</v>
      </c>
      <c r="E8" t="s">
        <v>85</v>
      </c>
      <c r="F8" t="s">
        <v>268</v>
      </c>
      <c r="G8" t="s">
        <v>260</v>
      </c>
      <c r="H8" t="s">
        <v>291</v>
      </c>
      <c r="I8" t="s">
        <v>292</v>
      </c>
      <c r="J8" t="s">
        <v>255</v>
      </c>
      <c r="K8" t="s">
        <v>270</v>
      </c>
      <c r="L8" t="s">
        <v>255</v>
      </c>
      <c r="M8" t="s">
        <v>219</v>
      </c>
      <c r="N8" t="s">
        <v>219</v>
      </c>
      <c r="Q8" t="s">
        <v>55</v>
      </c>
      <c r="R8" t="s">
        <v>56</v>
      </c>
      <c r="S8" t="s">
        <v>29</v>
      </c>
      <c r="V8" t="s">
        <v>57</v>
      </c>
    </row>
    <row r="9" spans="1:23" x14ac:dyDescent="0.3">
      <c r="A9" t="s">
        <v>293</v>
      </c>
      <c r="B9" t="s">
        <v>294</v>
      </c>
      <c r="C9" t="s">
        <v>295</v>
      </c>
      <c r="D9" t="s">
        <v>249</v>
      </c>
      <c r="E9" t="s">
        <v>250</v>
      </c>
      <c r="F9" t="s">
        <v>296</v>
      </c>
      <c r="G9" t="s">
        <v>260</v>
      </c>
      <c r="H9" t="s">
        <v>291</v>
      </c>
      <c r="I9" t="s">
        <v>297</v>
      </c>
      <c r="J9" t="s">
        <v>255</v>
      </c>
      <c r="K9" t="s">
        <v>270</v>
      </c>
      <c r="L9" t="s">
        <v>255</v>
      </c>
      <c r="M9" t="s">
        <v>219</v>
      </c>
      <c r="N9" t="s">
        <v>298</v>
      </c>
      <c r="Q9" t="s">
        <v>58</v>
      </c>
      <c r="R9" t="s">
        <v>59</v>
      </c>
      <c r="S9" t="s">
        <v>29</v>
      </c>
      <c r="V9" t="s">
        <v>60</v>
      </c>
    </row>
    <row r="10" spans="1:23" x14ac:dyDescent="0.3">
      <c r="A10" t="s">
        <v>299</v>
      </c>
      <c r="B10" t="s">
        <v>300</v>
      </c>
      <c r="C10" t="s">
        <v>301</v>
      </c>
      <c r="D10" t="s">
        <v>249</v>
      </c>
      <c r="E10" t="s">
        <v>267</v>
      </c>
      <c r="F10" t="s">
        <v>268</v>
      </c>
      <c r="G10" t="s">
        <v>302</v>
      </c>
      <c r="H10" t="s">
        <v>303</v>
      </c>
      <c r="I10" t="s">
        <v>304</v>
      </c>
      <c r="J10" t="s">
        <v>255</v>
      </c>
      <c r="K10" t="s">
        <v>270</v>
      </c>
      <c r="L10" t="s">
        <v>255</v>
      </c>
      <c r="M10" t="s">
        <v>219</v>
      </c>
      <c r="N10" t="s">
        <v>109</v>
      </c>
      <c r="Q10" t="s">
        <v>61</v>
      </c>
      <c r="R10" t="s">
        <v>62</v>
      </c>
      <c r="S10" t="s">
        <v>29</v>
      </c>
      <c r="T10" t="s">
        <v>44</v>
      </c>
      <c r="V10" t="s">
        <v>63</v>
      </c>
      <c r="W10" t="s">
        <v>64</v>
      </c>
    </row>
    <row r="11" spans="1:23" x14ac:dyDescent="0.3">
      <c r="A11" t="s">
        <v>305</v>
      </c>
      <c r="B11" t="s">
        <v>306</v>
      </c>
      <c r="C11" t="s">
        <v>307</v>
      </c>
      <c r="D11" t="s">
        <v>249</v>
      </c>
      <c r="E11" t="s">
        <v>250</v>
      </c>
      <c r="F11" t="s">
        <v>268</v>
      </c>
      <c r="G11" t="s">
        <v>260</v>
      </c>
      <c r="H11" t="s">
        <v>308</v>
      </c>
      <c r="I11" t="s">
        <v>309</v>
      </c>
      <c r="J11" t="s">
        <v>255</v>
      </c>
      <c r="K11" t="s">
        <v>270</v>
      </c>
      <c r="L11" t="s">
        <v>255</v>
      </c>
      <c r="M11" t="s">
        <v>219</v>
      </c>
      <c r="N11" t="s">
        <v>74</v>
      </c>
      <c r="Q11" t="s">
        <v>65</v>
      </c>
      <c r="R11" t="s">
        <v>66</v>
      </c>
      <c r="S11" t="s">
        <v>29</v>
      </c>
      <c r="T11" t="s">
        <v>67</v>
      </c>
      <c r="U11" t="s">
        <v>68</v>
      </c>
      <c r="W11" t="s">
        <v>69</v>
      </c>
    </row>
    <row r="12" spans="1:23" x14ac:dyDescent="0.3">
      <c r="A12" t="s">
        <v>310</v>
      </c>
      <c r="B12" t="s">
        <v>27</v>
      </c>
      <c r="C12" t="s">
        <v>311</v>
      </c>
      <c r="D12" t="s">
        <v>249</v>
      </c>
      <c r="E12" t="s">
        <v>280</v>
      </c>
      <c r="F12" t="s">
        <v>268</v>
      </c>
      <c r="G12" t="s">
        <v>312</v>
      </c>
      <c r="H12" t="s">
        <v>313</v>
      </c>
      <c r="I12" t="s">
        <v>314</v>
      </c>
      <c r="J12" t="s">
        <v>255</v>
      </c>
      <c r="K12" t="s">
        <v>270</v>
      </c>
      <c r="L12" t="s">
        <v>255</v>
      </c>
      <c r="M12" t="s">
        <v>219</v>
      </c>
      <c r="N12" t="s">
        <v>128</v>
      </c>
      <c r="O12" t="s">
        <v>315</v>
      </c>
      <c r="Q12" t="s">
        <v>70</v>
      </c>
      <c r="R12" t="s">
        <v>71</v>
      </c>
      <c r="S12" t="s">
        <v>29</v>
      </c>
      <c r="T12" t="s">
        <v>35</v>
      </c>
      <c r="U12" t="s">
        <v>72</v>
      </c>
      <c r="W12" t="s">
        <v>73</v>
      </c>
    </row>
    <row r="13" spans="1:23" x14ac:dyDescent="0.3">
      <c r="A13" t="s">
        <v>316</v>
      </c>
      <c r="B13" t="s">
        <v>317</v>
      </c>
      <c r="C13" t="s">
        <v>318</v>
      </c>
      <c r="D13" t="s">
        <v>249</v>
      </c>
      <c r="E13" t="s">
        <v>250</v>
      </c>
      <c r="F13" t="s">
        <v>319</v>
      </c>
      <c r="G13" t="s">
        <v>252</v>
      </c>
      <c r="H13" t="s">
        <v>320</v>
      </c>
      <c r="I13" t="s">
        <v>321</v>
      </c>
      <c r="J13" t="s">
        <v>255</v>
      </c>
      <c r="K13" t="s">
        <v>255</v>
      </c>
      <c r="L13" t="s">
        <v>255</v>
      </c>
      <c r="M13" t="s">
        <v>219</v>
      </c>
      <c r="N13" t="s">
        <v>74</v>
      </c>
      <c r="Q13" t="s">
        <v>74</v>
      </c>
      <c r="R13" t="s">
        <v>75</v>
      </c>
      <c r="S13" t="s">
        <v>29</v>
      </c>
      <c r="T13" t="s">
        <v>44</v>
      </c>
      <c r="W13" t="s">
        <v>76</v>
      </c>
    </row>
    <row r="14" spans="1:23" x14ac:dyDescent="0.3">
      <c r="A14" t="s">
        <v>322</v>
      </c>
      <c r="B14" t="s">
        <v>323</v>
      </c>
      <c r="C14" t="s">
        <v>324</v>
      </c>
      <c r="D14" t="s">
        <v>249</v>
      </c>
      <c r="E14" t="s">
        <v>73</v>
      </c>
      <c r="F14" t="s">
        <v>268</v>
      </c>
      <c r="G14" t="s">
        <v>312</v>
      </c>
      <c r="H14" t="s">
        <v>325</v>
      </c>
      <c r="I14" t="s">
        <v>326</v>
      </c>
      <c r="J14" t="s">
        <v>255</v>
      </c>
      <c r="K14" t="s">
        <v>270</v>
      </c>
      <c r="L14" t="s">
        <v>255</v>
      </c>
      <c r="M14" t="s">
        <v>219</v>
      </c>
      <c r="N14" t="s">
        <v>219</v>
      </c>
      <c r="O14" t="s">
        <v>327</v>
      </c>
      <c r="Q14" t="s">
        <v>77</v>
      </c>
      <c r="R14" t="s">
        <v>78</v>
      </c>
      <c r="S14" t="s">
        <v>29</v>
      </c>
      <c r="T14" t="s">
        <v>79</v>
      </c>
      <c r="U14" t="s">
        <v>80</v>
      </c>
      <c r="V14" t="s">
        <v>81</v>
      </c>
      <c r="W14" t="s">
        <v>46</v>
      </c>
    </row>
    <row r="15" spans="1:23" x14ac:dyDescent="0.3">
      <c r="A15" t="s">
        <v>328</v>
      </c>
      <c r="B15" t="s">
        <v>33</v>
      </c>
      <c r="C15" t="s">
        <v>324</v>
      </c>
      <c r="D15" t="s">
        <v>249</v>
      </c>
      <c r="E15" t="s">
        <v>37</v>
      </c>
      <c r="F15" t="s">
        <v>268</v>
      </c>
      <c r="G15" t="s">
        <v>312</v>
      </c>
      <c r="H15" t="s">
        <v>325</v>
      </c>
      <c r="I15" t="s">
        <v>326</v>
      </c>
      <c r="J15" t="s">
        <v>255</v>
      </c>
      <c r="K15" t="s">
        <v>270</v>
      </c>
      <c r="L15" t="s">
        <v>255</v>
      </c>
      <c r="M15" t="s">
        <v>219</v>
      </c>
      <c r="N15" t="s">
        <v>219</v>
      </c>
      <c r="O15" t="s">
        <v>329</v>
      </c>
      <c r="Q15" t="s">
        <v>82</v>
      </c>
      <c r="R15" t="s">
        <v>83</v>
      </c>
      <c r="S15" t="s">
        <v>29</v>
      </c>
      <c r="T15" t="s">
        <v>44</v>
      </c>
      <c r="U15" t="s">
        <v>84</v>
      </c>
      <c r="W15" t="s">
        <v>85</v>
      </c>
    </row>
    <row r="16" spans="1:23" x14ac:dyDescent="0.3">
      <c r="A16" t="s">
        <v>330</v>
      </c>
      <c r="B16" t="s">
        <v>179</v>
      </c>
      <c r="C16" t="s">
        <v>331</v>
      </c>
      <c r="D16" t="s">
        <v>249</v>
      </c>
      <c r="E16" t="s">
        <v>37</v>
      </c>
      <c r="F16" t="s">
        <v>268</v>
      </c>
      <c r="G16" t="s">
        <v>252</v>
      </c>
      <c r="H16" t="s">
        <v>320</v>
      </c>
      <c r="I16" t="s">
        <v>332</v>
      </c>
      <c r="J16" t="s">
        <v>255</v>
      </c>
      <c r="K16" t="s">
        <v>270</v>
      </c>
      <c r="L16" t="s">
        <v>255</v>
      </c>
      <c r="M16" t="s">
        <v>219</v>
      </c>
      <c r="N16" t="s">
        <v>219</v>
      </c>
      <c r="Q16" t="s">
        <v>86</v>
      </c>
      <c r="R16" t="s">
        <v>87</v>
      </c>
      <c r="S16" t="s">
        <v>29</v>
      </c>
      <c r="T16" t="s">
        <v>40</v>
      </c>
      <c r="U16" t="s">
        <v>88</v>
      </c>
      <c r="W16" t="s">
        <v>89</v>
      </c>
    </row>
    <row r="17" spans="1:23" x14ac:dyDescent="0.3">
      <c r="A17" t="s">
        <v>333</v>
      </c>
      <c r="B17" t="s">
        <v>334</v>
      </c>
      <c r="C17" t="s">
        <v>335</v>
      </c>
      <c r="D17" t="s">
        <v>336</v>
      </c>
      <c r="E17" t="s">
        <v>37</v>
      </c>
      <c r="F17" t="s">
        <v>268</v>
      </c>
      <c r="G17" t="s">
        <v>312</v>
      </c>
      <c r="H17" t="s">
        <v>337</v>
      </c>
      <c r="I17" t="s">
        <v>338</v>
      </c>
      <c r="J17" t="s">
        <v>255</v>
      </c>
      <c r="K17" t="s">
        <v>255</v>
      </c>
      <c r="L17" t="s">
        <v>255</v>
      </c>
      <c r="M17" t="s">
        <v>219</v>
      </c>
      <c r="N17" t="s">
        <v>219</v>
      </c>
      <c r="Q17" t="s">
        <v>90</v>
      </c>
      <c r="R17" t="s">
        <v>91</v>
      </c>
      <c r="S17" t="s">
        <v>29</v>
      </c>
      <c r="T17" t="s">
        <v>92</v>
      </c>
      <c r="U17" t="s">
        <v>93</v>
      </c>
      <c r="W17" t="s">
        <v>94</v>
      </c>
    </row>
    <row r="18" spans="1:23" x14ac:dyDescent="0.3">
      <c r="A18" t="s">
        <v>339</v>
      </c>
      <c r="B18" t="s">
        <v>340</v>
      </c>
      <c r="C18" t="s">
        <v>341</v>
      </c>
      <c r="D18" t="s">
        <v>249</v>
      </c>
      <c r="E18" t="s">
        <v>37</v>
      </c>
      <c r="F18" t="s">
        <v>268</v>
      </c>
      <c r="G18" t="s">
        <v>252</v>
      </c>
      <c r="H18" t="s">
        <v>342</v>
      </c>
      <c r="I18" t="s">
        <v>343</v>
      </c>
      <c r="J18" t="s">
        <v>255</v>
      </c>
      <c r="K18" t="s">
        <v>270</v>
      </c>
      <c r="L18" t="s">
        <v>255</v>
      </c>
      <c r="M18" t="s">
        <v>219</v>
      </c>
      <c r="N18" t="s">
        <v>219</v>
      </c>
      <c r="Q18" t="s">
        <v>95</v>
      </c>
      <c r="R18" t="s">
        <v>96</v>
      </c>
      <c r="S18" t="s">
        <v>29</v>
      </c>
      <c r="T18" t="s">
        <v>44</v>
      </c>
      <c r="U18" t="s">
        <v>97</v>
      </c>
      <c r="W18" t="s">
        <v>98</v>
      </c>
    </row>
    <row r="19" spans="1:23" x14ac:dyDescent="0.3">
      <c r="A19" t="s">
        <v>344</v>
      </c>
      <c r="B19" t="s">
        <v>137</v>
      </c>
      <c r="C19" t="s">
        <v>345</v>
      </c>
      <c r="D19" t="s">
        <v>249</v>
      </c>
      <c r="E19" t="s">
        <v>346</v>
      </c>
      <c r="F19" t="s">
        <v>268</v>
      </c>
      <c r="G19" t="s">
        <v>252</v>
      </c>
      <c r="H19" t="s">
        <v>342</v>
      </c>
      <c r="I19" t="s">
        <v>347</v>
      </c>
      <c r="J19" t="s">
        <v>255</v>
      </c>
      <c r="K19" t="s">
        <v>270</v>
      </c>
      <c r="L19" t="s">
        <v>255</v>
      </c>
      <c r="M19" t="s">
        <v>219</v>
      </c>
      <c r="N19" t="s">
        <v>219</v>
      </c>
      <c r="Q19" t="s">
        <v>99</v>
      </c>
      <c r="R19" t="s">
        <v>100</v>
      </c>
      <c r="S19" t="s">
        <v>29</v>
      </c>
      <c r="T19" t="s">
        <v>101</v>
      </c>
      <c r="U19" t="s">
        <v>102</v>
      </c>
      <c r="V19" t="s">
        <v>103</v>
      </c>
      <c r="W19" t="s">
        <v>98</v>
      </c>
    </row>
    <row r="20" spans="1:23" x14ac:dyDescent="0.3">
      <c r="A20" t="s">
        <v>348</v>
      </c>
      <c r="B20" t="s">
        <v>65</v>
      </c>
      <c r="C20" t="s">
        <v>349</v>
      </c>
      <c r="D20" t="s">
        <v>249</v>
      </c>
      <c r="E20" t="s">
        <v>37</v>
      </c>
      <c r="F20" t="s">
        <v>268</v>
      </c>
      <c r="G20" t="s">
        <v>252</v>
      </c>
      <c r="H20" t="s">
        <v>320</v>
      </c>
      <c r="I20" t="s">
        <v>350</v>
      </c>
      <c r="J20" t="s">
        <v>255</v>
      </c>
      <c r="K20" t="s">
        <v>270</v>
      </c>
      <c r="L20" t="s">
        <v>255</v>
      </c>
      <c r="M20" t="s">
        <v>219</v>
      </c>
      <c r="N20" t="s">
        <v>219</v>
      </c>
      <c r="Q20" t="s">
        <v>104</v>
      </c>
      <c r="R20" t="s">
        <v>105</v>
      </c>
      <c r="S20" t="s">
        <v>29</v>
      </c>
      <c r="T20" t="s">
        <v>106</v>
      </c>
      <c r="U20" t="s">
        <v>107</v>
      </c>
      <c r="W20" t="s">
        <v>108</v>
      </c>
    </row>
    <row r="21" spans="1:23" x14ac:dyDescent="0.3">
      <c r="A21" t="s">
        <v>351</v>
      </c>
      <c r="B21" t="s">
        <v>51</v>
      </c>
      <c r="C21" t="s">
        <v>352</v>
      </c>
      <c r="D21" t="s">
        <v>249</v>
      </c>
      <c r="E21" t="s">
        <v>250</v>
      </c>
      <c r="F21" t="s">
        <v>353</v>
      </c>
      <c r="G21" t="s">
        <v>312</v>
      </c>
      <c r="H21" t="s">
        <v>354</v>
      </c>
      <c r="I21" t="s">
        <v>355</v>
      </c>
      <c r="J21" t="s">
        <v>255</v>
      </c>
      <c r="K21" t="s">
        <v>255</v>
      </c>
      <c r="L21" t="s">
        <v>255</v>
      </c>
      <c r="M21" t="s">
        <v>219</v>
      </c>
      <c r="N21" t="s">
        <v>74</v>
      </c>
      <c r="Q21" t="s">
        <v>109</v>
      </c>
      <c r="R21" t="s">
        <v>110</v>
      </c>
      <c r="S21" t="s">
        <v>29</v>
      </c>
      <c r="V21" t="s">
        <v>111</v>
      </c>
      <c r="W21" t="s">
        <v>46</v>
      </c>
    </row>
    <row r="22" spans="1:23" x14ac:dyDescent="0.3">
      <c r="A22" t="s">
        <v>348</v>
      </c>
      <c r="B22" t="s">
        <v>65</v>
      </c>
      <c r="C22" t="s">
        <v>349</v>
      </c>
      <c r="D22" t="s">
        <v>249</v>
      </c>
      <c r="E22" t="s">
        <v>37</v>
      </c>
      <c r="F22" t="s">
        <v>268</v>
      </c>
      <c r="G22" t="s">
        <v>312</v>
      </c>
      <c r="H22" t="s">
        <v>356</v>
      </c>
      <c r="I22" t="s">
        <v>357</v>
      </c>
      <c r="J22" t="s">
        <v>255</v>
      </c>
      <c r="K22" t="s">
        <v>270</v>
      </c>
      <c r="L22" t="s">
        <v>255</v>
      </c>
      <c r="M22" t="s">
        <v>219</v>
      </c>
      <c r="N22" t="s">
        <v>219</v>
      </c>
      <c r="Q22" t="s">
        <v>112</v>
      </c>
      <c r="R22" t="s">
        <v>113</v>
      </c>
      <c r="S22" t="s">
        <v>29</v>
      </c>
      <c r="T22" t="s">
        <v>114</v>
      </c>
      <c r="U22" t="s">
        <v>115</v>
      </c>
      <c r="W22" t="s">
        <v>85</v>
      </c>
    </row>
    <row r="23" spans="1:23" x14ac:dyDescent="0.3">
      <c r="A23" t="s">
        <v>358</v>
      </c>
      <c r="B23" t="s">
        <v>359</v>
      </c>
      <c r="C23" t="s">
        <v>360</v>
      </c>
      <c r="D23" t="s">
        <v>249</v>
      </c>
      <c r="E23" t="s">
        <v>280</v>
      </c>
      <c r="F23" t="s">
        <v>268</v>
      </c>
      <c r="G23" t="s">
        <v>312</v>
      </c>
      <c r="H23" t="s">
        <v>361</v>
      </c>
      <c r="I23" t="s">
        <v>362</v>
      </c>
      <c r="J23" t="s">
        <v>255</v>
      </c>
      <c r="K23" t="s">
        <v>270</v>
      </c>
      <c r="L23" t="s">
        <v>255</v>
      </c>
      <c r="M23" t="s">
        <v>219</v>
      </c>
      <c r="N23" t="s">
        <v>219</v>
      </c>
      <c r="Q23" t="s">
        <v>116</v>
      </c>
      <c r="R23" t="s">
        <v>117</v>
      </c>
      <c r="S23" t="s">
        <v>29</v>
      </c>
      <c r="T23" t="s">
        <v>67</v>
      </c>
      <c r="U23" t="s">
        <v>118</v>
      </c>
      <c r="W23" t="s">
        <v>119</v>
      </c>
    </row>
    <row r="24" spans="1:23" x14ac:dyDescent="0.3">
      <c r="A24" t="s">
        <v>363</v>
      </c>
      <c r="B24" t="s">
        <v>70</v>
      </c>
      <c r="C24" t="s">
        <v>364</v>
      </c>
      <c r="D24" t="s">
        <v>249</v>
      </c>
      <c r="E24" t="s">
        <v>250</v>
      </c>
      <c r="F24" t="s">
        <v>268</v>
      </c>
      <c r="G24" t="s">
        <v>252</v>
      </c>
      <c r="H24" t="s">
        <v>365</v>
      </c>
      <c r="I24" t="s">
        <v>366</v>
      </c>
      <c r="J24" t="s">
        <v>255</v>
      </c>
      <c r="K24" t="s">
        <v>270</v>
      </c>
      <c r="L24" t="s">
        <v>255</v>
      </c>
      <c r="M24" t="s">
        <v>219</v>
      </c>
      <c r="N24" t="s">
        <v>219</v>
      </c>
      <c r="Q24" t="s">
        <v>120</v>
      </c>
      <c r="R24" t="s">
        <v>121</v>
      </c>
      <c r="S24" t="s">
        <v>29</v>
      </c>
      <c r="T24" t="s">
        <v>122</v>
      </c>
      <c r="U24" t="s">
        <v>123</v>
      </c>
      <c r="W24" t="s">
        <v>46</v>
      </c>
    </row>
    <row r="25" spans="1:23" x14ac:dyDescent="0.3">
      <c r="A25" t="s">
        <v>367</v>
      </c>
      <c r="B25" t="s">
        <v>368</v>
      </c>
      <c r="C25" t="s">
        <v>369</v>
      </c>
      <c r="D25" t="s">
        <v>249</v>
      </c>
      <c r="E25" t="s">
        <v>250</v>
      </c>
      <c r="F25" t="s">
        <v>268</v>
      </c>
      <c r="G25" t="s">
        <v>252</v>
      </c>
      <c r="H25" t="s">
        <v>370</v>
      </c>
      <c r="I25" t="s">
        <v>371</v>
      </c>
      <c r="J25" t="s">
        <v>255</v>
      </c>
      <c r="K25" t="s">
        <v>255</v>
      </c>
      <c r="L25" t="s">
        <v>255</v>
      </c>
      <c r="M25" t="s">
        <v>219</v>
      </c>
      <c r="N25" t="s">
        <v>74</v>
      </c>
      <c r="Q25" t="s">
        <v>124</v>
      </c>
      <c r="R25" t="s">
        <v>125</v>
      </c>
      <c r="S25" t="s">
        <v>29</v>
      </c>
      <c r="T25" t="s">
        <v>114</v>
      </c>
      <c r="U25" t="s">
        <v>126</v>
      </c>
      <c r="W25" t="s">
        <v>127</v>
      </c>
    </row>
    <row r="26" spans="1:23" x14ac:dyDescent="0.3">
      <c r="A26" t="s">
        <v>372</v>
      </c>
      <c r="B26" t="s">
        <v>373</v>
      </c>
      <c r="C26" t="s">
        <v>369</v>
      </c>
      <c r="D26" t="s">
        <v>249</v>
      </c>
      <c r="E26" t="s">
        <v>250</v>
      </c>
      <c r="F26" t="s">
        <v>374</v>
      </c>
      <c r="G26" t="s">
        <v>260</v>
      </c>
      <c r="H26" t="s">
        <v>375</v>
      </c>
      <c r="I26" t="s">
        <v>376</v>
      </c>
      <c r="J26" t="s">
        <v>255</v>
      </c>
      <c r="K26" t="s">
        <v>255</v>
      </c>
      <c r="L26" t="s">
        <v>255</v>
      </c>
      <c r="M26" t="s">
        <v>219</v>
      </c>
      <c r="N26" t="s">
        <v>74</v>
      </c>
      <c r="O26" t="s">
        <v>377</v>
      </c>
      <c r="Q26" t="s">
        <v>128</v>
      </c>
      <c r="R26" t="s">
        <v>129</v>
      </c>
      <c r="S26" t="s">
        <v>29</v>
      </c>
      <c r="T26" t="s">
        <v>130</v>
      </c>
      <c r="U26" t="s">
        <v>131</v>
      </c>
      <c r="W26" t="s">
        <v>132</v>
      </c>
    </row>
    <row r="27" spans="1:23" x14ac:dyDescent="0.3">
      <c r="A27" t="s">
        <v>378</v>
      </c>
      <c r="B27" t="s">
        <v>379</v>
      </c>
      <c r="C27" t="s">
        <v>369</v>
      </c>
      <c r="D27" t="s">
        <v>249</v>
      </c>
      <c r="E27" t="s">
        <v>250</v>
      </c>
      <c r="F27" t="s">
        <v>380</v>
      </c>
      <c r="G27" t="s">
        <v>260</v>
      </c>
      <c r="H27" t="s">
        <v>375</v>
      </c>
      <c r="I27" t="s">
        <v>381</v>
      </c>
      <c r="J27" t="s">
        <v>255</v>
      </c>
      <c r="K27" t="s">
        <v>255</v>
      </c>
      <c r="L27" t="s">
        <v>255</v>
      </c>
      <c r="M27" t="s">
        <v>219</v>
      </c>
      <c r="N27" t="s">
        <v>74</v>
      </c>
      <c r="O27" t="s">
        <v>382</v>
      </c>
      <c r="Q27" t="s">
        <v>133</v>
      </c>
      <c r="R27" t="s">
        <v>134</v>
      </c>
      <c r="S27" t="s">
        <v>29</v>
      </c>
      <c r="T27" t="s">
        <v>44</v>
      </c>
      <c r="U27" t="s">
        <v>135</v>
      </c>
      <c r="W27" t="s">
        <v>136</v>
      </c>
    </row>
    <row r="28" spans="1:23" x14ac:dyDescent="0.3">
      <c r="A28" t="s">
        <v>383</v>
      </c>
      <c r="B28" t="s">
        <v>384</v>
      </c>
      <c r="C28" t="s">
        <v>369</v>
      </c>
      <c r="D28" t="s">
        <v>249</v>
      </c>
      <c r="E28" t="s">
        <v>250</v>
      </c>
      <c r="F28" t="s">
        <v>385</v>
      </c>
      <c r="G28" t="s">
        <v>260</v>
      </c>
      <c r="H28" t="s">
        <v>375</v>
      </c>
      <c r="I28" t="s">
        <v>386</v>
      </c>
      <c r="J28" t="s">
        <v>255</v>
      </c>
      <c r="K28" t="s">
        <v>255</v>
      </c>
      <c r="L28" t="s">
        <v>255</v>
      </c>
      <c r="M28" t="s">
        <v>219</v>
      </c>
      <c r="N28" t="s">
        <v>74</v>
      </c>
      <c r="O28" t="s">
        <v>382</v>
      </c>
      <c r="Q28" t="s">
        <v>137</v>
      </c>
      <c r="R28" t="s">
        <v>138</v>
      </c>
      <c r="S28" t="s">
        <v>29</v>
      </c>
      <c r="T28" t="s">
        <v>139</v>
      </c>
      <c r="U28" t="s">
        <v>140</v>
      </c>
      <c r="W28" t="s">
        <v>108</v>
      </c>
    </row>
    <row r="29" spans="1:23" x14ac:dyDescent="0.3">
      <c r="A29" t="s">
        <v>387</v>
      </c>
      <c r="B29" t="s">
        <v>388</v>
      </c>
      <c r="C29" t="s">
        <v>369</v>
      </c>
      <c r="D29" t="s">
        <v>249</v>
      </c>
      <c r="E29" t="s">
        <v>250</v>
      </c>
      <c r="F29" t="s">
        <v>268</v>
      </c>
      <c r="G29" t="s">
        <v>260</v>
      </c>
      <c r="H29" t="s">
        <v>375</v>
      </c>
      <c r="I29" t="s">
        <v>389</v>
      </c>
      <c r="J29" t="s">
        <v>255</v>
      </c>
      <c r="K29" t="s">
        <v>255</v>
      </c>
      <c r="L29" t="s">
        <v>255</v>
      </c>
      <c r="M29" t="s">
        <v>219</v>
      </c>
      <c r="N29" t="s">
        <v>74</v>
      </c>
      <c r="O29" t="s">
        <v>382</v>
      </c>
      <c r="Q29" t="s">
        <v>141</v>
      </c>
      <c r="R29" t="s">
        <v>142</v>
      </c>
      <c r="S29" t="s">
        <v>29</v>
      </c>
      <c r="T29" t="s">
        <v>122</v>
      </c>
      <c r="U29" t="s">
        <v>143</v>
      </c>
      <c r="W29" t="s">
        <v>46</v>
      </c>
    </row>
    <row r="30" spans="1:23" x14ac:dyDescent="0.3">
      <c r="A30" t="s">
        <v>390</v>
      </c>
      <c r="B30" t="s">
        <v>391</v>
      </c>
      <c r="C30" t="s">
        <v>369</v>
      </c>
      <c r="D30" t="s">
        <v>249</v>
      </c>
      <c r="E30" t="s">
        <v>250</v>
      </c>
      <c r="F30" t="s">
        <v>392</v>
      </c>
      <c r="G30" t="s">
        <v>252</v>
      </c>
      <c r="H30" t="s">
        <v>370</v>
      </c>
      <c r="I30" t="s">
        <v>393</v>
      </c>
      <c r="J30" t="s">
        <v>255</v>
      </c>
      <c r="K30" t="s">
        <v>255</v>
      </c>
      <c r="L30" t="s">
        <v>255</v>
      </c>
      <c r="M30" t="s">
        <v>219</v>
      </c>
      <c r="N30" t="s">
        <v>74</v>
      </c>
      <c r="Q30" t="s">
        <v>144</v>
      </c>
      <c r="R30" t="s">
        <v>145</v>
      </c>
      <c r="S30" t="s">
        <v>29</v>
      </c>
      <c r="T30" t="s">
        <v>146</v>
      </c>
      <c r="U30" t="s">
        <v>147</v>
      </c>
      <c r="W30" t="s">
        <v>85</v>
      </c>
    </row>
    <row r="31" spans="1:23" x14ac:dyDescent="0.3">
      <c r="A31" t="s">
        <v>394</v>
      </c>
      <c r="B31" t="s">
        <v>395</v>
      </c>
      <c r="C31" t="s">
        <v>369</v>
      </c>
      <c r="D31" t="s">
        <v>249</v>
      </c>
      <c r="E31" t="s">
        <v>250</v>
      </c>
      <c r="F31" t="s">
        <v>396</v>
      </c>
      <c r="G31" t="s">
        <v>260</v>
      </c>
      <c r="H31" t="s">
        <v>375</v>
      </c>
      <c r="I31" t="s">
        <v>397</v>
      </c>
      <c r="J31" t="s">
        <v>255</v>
      </c>
      <c r="K31" t="s">
        <v>255</v>
      </c>
      <c r="L31" t="s">
        <v>255</v>
      </c>
      <c r="M31" t="s">
        <v>219</v>
      </c>
      <c r="N31" t="s">
        <v>74</v>
      </c>
      <c r="O31" t="s">
        <v>382</v>
      </c>
      <c r="Q31" t="s">
        <v>148</v>
      </c>
      <c r="R31" t="s">
        <v>149</v>
      </c>
      <c r="S31" t="s">
        <v>29</v>
      </c>
      <c r="T31" t="s">
        <v>44</v>
      </c>
      <c r="W31" t="s">
        <v>64</v>
      </c>
    </row>
    <row r="32" spans="1:23" x14ac:dyDescent="0.3">
      <c r="A32" t="s">
        <v>398</v>
      </c>
      <c r="B32" t="s">
        <v>399</v>
      </c>
      <c r="C32" t="s">
        <v>369</v>
      </c>
      <c r="D32" t="s">
        <v>249</v>
      </c>
      <c r="E32" t="s">
        <v>250</v>
      </c>
      <c r="F32" t="s">
        <v>400</v>
      </c>
      <c r="G32" t="s">
        <v>260</v>
      </c>
      <c r="H32" t="s">
        <v>375</v>
      </c>
      <c r="I32" t="s">
        <v>401</v>
      </c>
      <c r="J32" t="s">
        <v>255</v>
      </c>
      <c r="K32" t="s">
        <v>255</v>
      </c>
      <c r="L32" t="s">
        <v>255</v>
      </c>
      <c r="M32" t="s">
        <v>219</v>
      </c>
      <c r="N32" t="s">
        <v>74</v>
      </c>
      <c r="O32" t="s">
        <v>382</v>
      </c>
      <c r="Q32" t="s">
        <v>150</v>
      </c>
      <c r="R32" t="s">
        <v>151</v>
      </c>
      <c r="S32" t="s">
        <v>29</v>
      </c>
      <c r="V32" t="s">
        <v>152</v>
      </c>
      <c r="W32" t="s">
        <v>64</v>
      </c>
    </row>
    <row r="33" spans="1:23" x14ac:dyDescent="0.3">
      <c r="A33" t="s">
        <v>402</v>
      </c>
      <c r="B33" t="s">
        <v>403</v>
      </c>
      <c r="C33" t="s">
        <v>369</v>
      </c>
      <c r="D33" t="s">
        <v>249</v>
      </c>
      <c r="E33" t="s">
        <v>250</v>
      </c>
      <c r="F33" t="s">
        <v>404</v>
      </c>
      <c r="G33" t="s">
        <v>252</v>
      </c>
      <c r="H33" t="s">
        <v>370</v>
      </c>
      <c r="I33" t="s">
        <v>405</v>
      </c>
      <c r="J33" t="s">
        <v>255</v>
      </c>
      <c r="K33" t="s">
        <v>255</v>
      </c>
      <c r="L33" t="s">
        <v>255</v>
      </c>
      <c r="M33" t="s">
        <v>219</v>
      </c>
      <c r="N33" t="s">
        <v>74</v>
      </c>
      <c r="Q33" t="s">
        <v>153</v>
      </c>
      <c r="R33" t="s">
        <v>154</v>
      </c>
      <c r="S33" t="s">
        <v>29</v>
      </c>
      <c r="T33" t="s">
        <v>155</v>
      </c>
      <c r="U33" t="s">
        <v>156</v>
      </c>
      <c r="V33" t="s">
        <v>157</v>
      </c>
    </row>
    <row r="34" spans="1:23" x14ac:dyDescent="0.3">
      <c r="A34" t="s">
        <v>406</v>
      </c>
      <c r="B34" t="s">
        <v>407</v>
      </c>
      <c r="C34" t="s">
        <v>369</v>
      </c>
      <c r="D34" t="s">
        <v>249</v>
      </c>
      <c r="E34" t="s">
        <v>250</v>
      </c>
      <c r="F34" t="s">
        <v>408</v>
      </c>
      <c r="G34" t="s">
        <v>252</v>
      </c>
      <c r="H34" t="s">
        <v>370</v>
      </c>
      <c r="I34" t="s">
        <v>409</v>
      </c>
      <c r="J34" t="s">
        <v>255</v>
      </c>
      <c r="K34" t="s">
        <v>255</v>
      </c>
      <c r="L34" t="s">
        <v>255</v>
      </c>
      <c r="M34" t="s">
        <v>219</v>
      </c>
      <c r="N34" t="s">
        <v>74</v>
      </c>
      <c r="Q34" t="s">
        <v>158</v>
      </c>
      <c r="R34" t="s">
        <v>159</v>
      </c>
      <c r="S34" t="s">
        <v>29</v>
      </c>
      <c r="T34" t="s">
        <v>160</v>
      </c>
      <c r="U34" t="s">
        <v>161</v>
      </c>
      <c r="W34" t="s">
        <v>85</v>
      </c>
    </row>
    <row r="35" spans="1:23" x14ac:dyDescent="0.3">
      <c r="A35" t="s">
        <v>410</v>
      </c>
      <c r="B35" t="s">
        <v>411</v>
      </c>
      <c r="C35" t="s">
        <v>412</v>
      </c>
      <c r="D35" t="s">
        <v>249</v>
      </c>
      <c r="E35" t="s">
        <v>119</v>
      </c>
      <c r="F35" t="s">
        <v>268</v>
      </c>
      <c r="G35" t="s">
        <v>260</v>
      </c>
      <c r="H35" t="s">
        <v>413</v>
      </c>
      <c r="I35" t="s">
        <v>414</v>
      </c>
      <c r="J35" t="s">
        <v>255</v>
      </c>
      <c r="K35" t="s">
        <v>255</v>
      </c>
      <c r="L35" t="s">
        <v>255</v>
      </c>
      <c r="M35" t="s">
        <v>219</v>
      </c>
      <c r="N35" t="s">
        <v>116</v>
      </c>
      <c r="Q35" t="s">
        <v>162</v>
      </c>
      <c r="R35" t="s">
        <v>163</v>
      </c>
      <c r="S35" t="s">
        <v>29</v>
      </c>
      <c r="T35" t="s">
        <v>67</v>
      </c>
      <c r="U35" t="s">
        <v>164</v>
      </c>
      <c r="W35" t="s">
        <v>85</v>
      </c>
    </row>
    <row r="36" spans="1:23" x14ac:dyDescent="0.3">
      <c r="A36" t="s">
        <v>363</v>
      </c>
      <c r="B36" t="s">
        <v>70</v>
      </c>
      <c r="C36" t="s">
        <v>415</v>
      </c>
      <c r="D36" t="s">
        <v>249</v>
      </c>
      <c r="E36" t="s">
        <v>73</v>
      </c>
      <c r="F36" t="s">
        <v>268</v>
      </c>
      <c r="G36" t="s">
        <v>252</v>
      </c>
      <c r="H36" t="s">
        <v>320</v>
      </c>
      <c r="I36" t="s">
        <v>416</v>
      </c>
      <c r="J36" t="s">
        <v>255</v>
      </c>
      <c r="K36" t="s">
        <v>255</v>
      </c>
      <c r="L36" t="s">
        <v>255</v>
      </c>
      <c r="M36" t="s">
        <v>219</v>
      </c>
      <c r="N36" t="s">
        <v>219</v>
      </c>
      <c r="Q36" t="s">
        <v>165</v>
      </c>
      <c r="R36" t="s">
        <v>166</v>
      </c>
      <c r="S36" t="s">
        <v>29</v>
      </c>
      <c r="T36" t="s">
        <v>122</v>
      </c>
      <c r="U36" t="s">
        <v>167</v>
      </c>
      <c r="W36" t="s">
        <v>168</v>
      </c>
    </row>
    <row r="37" spans="1:23" x14ac:dyDescent="0.3">
      <c r="A37" t="s">
        <v>417</v>
      </c>
      <c r="B37" t="s">
        <v>47</v>
      </c>
      <c r="C37" t="s">
        <v>418</v>
      </c>
      <c r="D37" t="s">
        <v>249</v>
      </c>
      <c r="E37" t="s">
        <v>250</v>
      </c>
      <c r="F37" t="s">
        <v>268</v>
      </c>
      <c r="G37" t="s">
        <v>252</v>
      </c>
      <c r="H37" t="s">
        <v>320</v>
      </c>
      <c r="I37" t="s">
        <v>419</v>
      </c>
      <c r="J37" t="s">
        <v>255</v>
      </c>
      <c r="K37" t="s">
        <v>270</v>
      </c>
      <c r="L37" t="s">
        <v>255</v>
      </c>
      <c r="M37" t="s">
        <v>219</v>
      </c>
      <c r="N37" t="s">
        <v>74</v>
      </c>
      <c r="Q37" t="s">
        <v>169</v>
      </c>
      <c r="R37" t="s">
        <v>170</v>
      </c>
      <c r="S37" t="s">
        <v>29</v>
      </c>
      <c r="T37" t="s">
        <v>122</v>
      </c>
      <c r="U37" t="s">
        <v>171</v>
      </c>
      <c r="V37" t="s">
        <v>172</v>
      </c>
      <c r="W37" t="s">
        <v>98</v>
      </c>
    </row>
    <row r="38" spans="1:23" x14ac:dyDescent="0.3">
      <c r="A38" t="s">
        <v>420</v>
      </c>
      <c r="B38" t="s">
        <v>421</v>
      </c>
      <c r="C38" t="s">
        <v>279</v>
      </c>
      <c r="D38" t="s">
        <v>249</v>
      </c>
      <c r="E38" t="s">
        <v>32</v>
      </c>
      <c r="F38" t="s">
        <v>268</v>
      </c>
      <c r="G38" t="s">
        <v>252</v>
      </c>
      <c r="H38" t="s">
        <v>320</v>
      </c>
      <c r="I38" t="s">
        <v>422</v>
      </c>
      <c r="J38" t="s">
        <v>255</v>
      </c>
      <c r="K38" t="s">
        <v>270</v>
      </c>
      <c r="L38" t="s">
        <v>255</v>
      </c>
      <c r="M38" t="s">
        <v>219</v>
      </c>
      <c r="N38" t="s">
        <v>219</v>
      </c>
      <c r="Q38" t="s">
        <v>173</v>
      </c>
      <c r="R38" t="s">
        <v>174</v>
      </c>
      <c r="S38" t="s">
        <v>29</v>
      </c>
      <c r="V38" t="s">
        <v>175</v>
      </c>
    </row>
    <row r="39" spans="1:23" x14ac:dyDescent="0.3">
      <c r="A39" t="s">
        <v>423</v>
      </c>
      <c r="B39" t="s">
        <v>424</v>
      </c>
      <c r="C39" t="s">
        <v>412</v>
      </c>
      <c r="D39" t="s">
        <v>249</v>
      </c>
      <c r="E39" t="s">
        <v>108</v>
      </c>
      <c r="F39" t="s">
        <v>268</v>
      </c>
      <c r="G39" t="s">
        <v>252</v>
      </c>
      <c r="H39" t="s">
        <v>425</v>
      </c>
      <c r="I39" t="s">
        <v>426</v>
      </c>
      <c r="J39" t="s">
        <v>255</v>
      </c>
      <c r="K39" t="s">
        <v>270</v>
      </c>
      <c r="L39" t="s">
        <v>255</v>
      </c>
      <c r="M39" t="s">
        <v>219</v>
      </c>
      <c r="N39" t="s">
        <v>219</v>
      </c>
      <c r="Q39" t="s">
        <v>176</v>
      </c>
      <c r="R39" t="s">
        <v>177</v>
      </c>
      <c r="S39" t="s">
        <v>29</v>
      </c>
      <c r="T39" t="s">
        <v>122</v>
      </c>
      <c r="U39" t="s">
        <v>178</v>
      </c>
      <c r="W39" t="s">
        <v>108</v>
      </c>
    </row>
    <row r="40" spans="1:23" x14ac:dyDescent="0.3">
      <c r="A40" t="s">
        <v>427</v>
      </c>
      <c r="B40" t="s">
        <v>428</v>
      </c>
      <c r="C40" t="s">
        <v>429</v>
      </c>
      <c r="D40" t="s">
        <v>249</v>
      </c>
      <c r="E40" t="s">
        <v>250</v>
      </c>
      <c r="F40" t="s">
        <v>430</v>
      </c>
      <c r="G40" t="s">
        <v>252</v>
      </c>
      <c r="H40" t="s">
        <v>370</v>
      </c>
      <c r="I40" t="s">
        <v>431</v>
      </c>
      <c r="J40" t="s">
        <v>255</v>
      </c>
      <c r="K40" t="s">
        <v>255</v>
      </c>
      <c r="L40" t="s">
        <v>255</v>
      </c>
      <c r="M40" t="s">
        <v>219</v>
      </c>
      <c r="N40" t="s">
        <v>219</v>
      </c>
      <c r="Q40" t="s">
        <v>179</v>
      </c>
      <c r="R40" t="s">
        <v>180</v>
      </c>
      <c r="S40" t="s">
        <v>29</v>
      </c>
      <c r="T40" t="s">
        <v>40</v>
      </c>
      <c r="U40" t="s">
        <v>181</v>
      </c>
      <c r="W40" t="s">
        <v>37</v>
      </c>
    </row>
    <row r="41" spans="1:23" x14ac:dyDescent="0.3">
      <c r="A41" t="s">
        <v>432</v>
      </c>
      <c r="B41" t="s">
        <v>433</v>
      </c>
      <c r="C41" t="s">
        <v>434</v>
      </c>
      <c r="D41" t="s">
        <v>249</v>
      </c>
      <c r="E41" t="s">
        <v>250</v>
      </c>
      <c r="F41" t="s">
        <v>435</v>
      </c>
      <c r="G41" t="s">
        <v>260</v>
      </c>
      <c r="H41" t="s">
        <v>375</v>
      </c>
      <c r="I41" t="s">
        <v>436</v>
      </c>
      <c r="J41" t="s">
        <v>255</v>
      </c>
      <c r="K41" t="s">
        <v>270</v>
      </c>
      <c r="L41" t="s">
        <v>255</v>
      </c>
      <c r="M41" t="s">
        <v>219</v>
      </c>
      <c r="N41" t="s">
        <v>74</v>
      </c>
      <c r="Q41" t="s">
        <v>182</v>
      </c>
      <c r="R41" t="s">
        <v>183</v>
      </c>
      <c r="S41" t="s">
        <v>29</v>
      </c>
      <c r="T41" t="s">
        <v>122</v>
      </c>
      <c r="U41" t="s">
        <v>184</v>
      </c>
      <c r="W41" t="s">
        <v>37</v>
      </c>
    </row>
    <row r="42" spans="1:23" x14ac:dyDescent="0.3">
      <c r="A42" t="s">
        <v>437</v>
      </c>
      <c r="B42" t="s">
        <v>438</v>
      </c>
      <c r="C42" t="s">
        <v>412</v>
      </c>
      <c r="D42" t="s">
        <v>249</v>
      </c>
      <c r="E42" t="s">
        <v>250</v>
      </c>
      <c r="F42" t="s">
        <v>268</v>
      </c>
      <c r="G42" t="s">
        <v>260</v>
      </c>
      <c r="H42" t="s">
        <v>439</v>
      </c>
      <c r="I42" t="s">
        <v>440</v>
      </c>
      <c r="J42" t="s">
        <v>255</v>
      </c>
      <c r="K42" t="s">
        <v>270</v>
      </c>
      <c r="L42" t="s">
        <v>255</v>
      </c>
      <c r="M42" t="s">
        <v>219</v>
      </c>
      <c r="N42" t="s">
        <v>74</v>
      </c>
      <c r="Q42" t="s">
        <v>185</v>
      </c>
      <c r="R42" t="s">
        <v>186</v>
      </c>
      <c r="S42" t="s">
        <v>29</v>
      </c>
      <c r="T42" t="s">
        <v>101</v>
      </c>
      <c r="U42" t="s">
        <v>102</v>
      </c>
      <c r="V42" t="s">
        <v>187</v>
      </c>
      <c r="W42" t="s">
        <v>98</v>
      </c>
    </row>
    <row r="43" spans="1:23" x14ac:dyDescent="0.3">
      <c r="A43" t="s">
        <v>441</v>
      </c>
      <c r="B43" t="s">
        <v>442</v>
      </c>
      <c r="C43" t="s">
        <v>429</v>
      </c>
      <c r="D43" t="s">
        <v>249</v>
      </c>
      <c r="E43" t="s">
        <v>250</v>
      </c>
      <c r="F43" t="s">
        <v>443</v>
      </c>
      <c r="G43" t="s">
        <v>260</v>
      </c>
      <c r="H43" t="s">
        <v>439</v>
      </c>
      <c r="I43" t="s">
        <v>444</v>
      </c>
      <c r="J43" t="s">
        <v>255</v>
      </c>
      <c r="K43" t="s">
        <v>255</v>
      </c>
      <c r="L43" t="s">
        <v>255</v>
      </c>
      <c r="M43" t="s">
        <v>219</v>
      </c>
      <c r="N43" t="s">
        <v>74</v>
      </c>
      <c r="Q43" t="s">
        <v>188</v>
      </c>
      <c r="R43" t="s">
        <v>189</v>
      </c>
      <c r="S43" t="s">
        <v>29</v>
      </c>
      <c r="T43" t="s">
        <v>130</v>
      </c>
      <c r="U43" t="s">
        <v>190</v>
      </c>
      <c r="V43" t="s">
        <v>191</v>
      </c>
      <c r="W43" t="s">
        <v>119</v>
      </c>
    </row>
    <row r="44" spans="1:23" x14ac:dyDescent="0.3">
      <c r="A44" t="s">
        <v>445</v>
      </c>
      <c r="B44" t="s">
        <v>446</v>
      </c>
      <c r="C44" t="s">
        <v>447</v>
      </c>
      <c r="D44" t="s">
        <v>249</v>
      </c>
      <c r="E44" t="s">
        <v>119</v>
      </c>
      <c r="F44" t="s">
        <v>268</v>
      </c>
      <c r="G44" t="s">
        <v>448</v>
      </c>
      <c r="H44" t="s">
        <v>448</v>
      </c>
      <c r="I44" t="s">
        <v>448</v>
      </c>
      <c r="J44" t="s">
        <v>255</v>
      </c>
      <c r="K44" t="s">
        <v>255</v>
      </c>
      <c r="L44" t="s">
        <v>255</v>
      </c>
      <c r="Q44" t="s">
        <v>165</v>
      </c>
      <c r="R44" t="s">
        <v>192</v>
      </c>
      <c r="S44" t="s">
        <v>29</v>
      </c>
      <c r="T44" t="s">
        <v>122</v>
      </c>
      <c r="U44" t="s">
        <v>167</v>
      </c>
      <c r="V44" t="s">
        <v>191</v>
      </c>
      <c r="W44" t="s">
        <v>168</v>
      </c>
    </row>
    <row r="45" spans="1:23" x14ac:dyDescent="0.3">
      <c r="A45" t="s">
        <v>449</v>
      </c>
      <c r="B45" t="s">
        <v>450</v>
      </c>
      <c r="C45" t="s">
        <v>451</v>
      </c>
      <c r="D45" t="s">
        <v>249</v>
      </c>
      <c r="E45" t="s">
        <v>250</v>
      </c>
      <c r="F45" t="s">
        <v>452</v>
      </c>
      <c r="G45" t="s">
        <v>260</v>
      </c>
      <c r="H45" t="s">
        <v>375</v>
      </c>
      <c r="I45" t="s">
        <v>453</v>
      </c>
      <c r="J45" t="s">
        <v>255</v>
      </c>
      <c r="K45" t="s">
        <v>270</v>
      </c>
      <c r="L45" t="s">
        <v>255</v>
      </c>
      <c r="M45" t="s">
        <v>219</v>
      </c>
      <c r="N45" t="s">
        <v>74</v>
      </c>
      <c r="Q45" t="s">
        <v>193</v>
      </c>
      <c r="R45" t="s">
        <v>194</v>
      </c>
      <c r="S45" t="s">
        <v>29</v>
      </c>
      <c r="V45" t="s">
        <v>195</v>
      </c>
    </row>
    <row r="46" spans="1:23" x14ac:dyDescent="0.3">
      <c r="A46" t="s">
        <v>454</v>
      </c>
      <c r="B46" t="s">
        <v>455</v>
      </c>
      <c r="C46" t="s">
        <v>369</v>
      </c>
      <c r="D46" t="s">
        <v>249</v>
      </c>
      <c r="E46" t="s">
        <v>250</v>
      </c>
      <c r="F46" t="s">
        <v>456</v>
      </c>
      <c r="G46" t="s">
        <v>252</v>
      </c>
      <c r="H46" t="s">
        <v>448</v>
      </c>
      <c r="I46" t="s">
        <v>448</v>
      </c>
      <c r="J46" t="s">
        <v>255</v>
      </c>
      <c r="K46" t="s">
        <v>270</v>
      </c>
      <c r="L46" t="s">
        <v>255</v>
      </c>
      <c r="M46" t="s">
        <v>219</v>
      </c>
      <c r="N46" t="s">
        <v>74</v>
      </c>
      <c r="O46" t="s">
        <v>382</v>
      </c>
      <c r="Q46" t="s">
        <v>196</v>
      </c>
      <c r="R46" t="s">
        <v>197</v>
      </c>
      <c r="S46" t="s">
        <v>29</v>
      </c>
      <c r="V46" t="s">
        <v>195</v>
      </c>
    </row>
    <row r="47" spans="1:23" x14ac:dyDescent="0.3">
      <c r="A47" t="s">
        <v>457</v>
      </c>
      <c r="B47" t="s">
        <v>458</v>
      </c>
      <c r="C47" t="s">
        <v>459</v>
      </c>
      <c r="D47" t="s">
        <v>249</v>
      </c>
      <c r="E47" t="s">
        <v>250</v>
      </c>
      <c r="F47" t="s">
        <v>268</v>
      </c>
      <c r="G47" t="s">
        <v>252</v>
      </c>
      <c r="H47" t="s">
        <v>320</v>
      </c>
      <c r="I47" t="s">
        <v>460</v>
      </c>
      <c r="J47" t="s">
        <v>255</v>
      </c>
      <c r="K47" t="s">
        <v>270</v>
      </c>
      <c r="L47" t="s">
        <v>255</v>
      </c>
      <c r="M47" t="s">
        <v>219</v>
      </c>
      <c r="N47" t="s">
        <v>74</v>
      </c>
      <c r="Q47" t="s">
        <v>198</v>
      </c>
      <c r="R47" t="s">
        <v>199</v>
      </c>
      <c r="S47" t="s">
        <v>29</v>
      </c>
      <c r="T47" t="s">
        <v>30</v>
      </c>
      <c r="U47" t="s">
        <v>200</v>
      </c>
      <c r="V47" t="s">
        <v>201</v>
      </c>
      <c r="W47" t="s">
        <v>37</v>
      </c>
    </row>
    <row r="48" spans="1:23" x14ac:dyDescent="0.3">
      <c r="A48" t="s">
        <v>461</v>
      </c>
      <c r="B48" t="s">
        <v>462</v>
      </c>
      <c r="C48" t="s">
        <v>463</v>
      </c>
      <c r="D48" t="s">
        <v>249</v>
      </c>
      <c r="E48" t="s">
        <v>85</v>
      </c>
      <c r="F48" t="s">
        <v>268</v>
      </c>
      <c r="G48" t="s">
        <v>312</v>
      </c>
      <c r="H48" t="s">
        <v>464</v>
      </c>
      <c r="I48" t="s">
        <v>465</v>
      </c>
      <c r="J48" t="s">
        <v>255</v>
      </c>
      <c r="K48" t="s">
        <v>255</v>
      </c>
      <c r="L48" t="s">
        <v>255</v>
      </c>
      <c r="M48" t="s">
        <v>112</v>
      </c>
      <c r="N48" t="s">
        <v>462</v>
      </c>
      <c r="Q48" t="s">
        <v>202</v>
      </c>
      <c r="R48" t="s">
        <v>203</v>
      </c>
      <c r="S48" t="s">
        <v>29</v>
      </c>
      <c r="V48" t="s">
        <v>195</v>
      </c>
    </row>
    <row r="49" spans="1:23" x14ac:dyDescent="0.3">
      <c r="A49" t="s">
        <v>466</v>
      </c>
      <c r="B49" t="s">
        <v>148</v>
      </c>
      <c r="C49" t="s">
        <v>467</v>
      </c>
      <c r="D49" t="s">
        <v>249</v>
      </c>
      <c r="E49" t="s">
        <v>267</v>
      </c>
      <c r="F49" t="s">
        <v>268</v>
      </c>
      <c r="G49" t="s">
        <v>468</v>
      </c>
      <c r="H49" t="s">
        <v>469</v>
      </c>
      <c r="I49" t="s">
        <v>470</v>
      </c>
      <c r="J49" t="s">
        <v>270</v>
      </c>
      <c r="K49" t="s">
        <v>255</v>
      </c>
      <c r="L49" t="s">
        <v>255</v>
      </c>
      <c r="M49" t="s">
        <v>112</v>
      </c>
      <c r="N49" t="s">
        <v>148</v>
      </c>
      <c r="Q49" t="s">
        <v>204</v>
      </c>
      <c r="R49" t="s">
        <v>205</v>
      </c>
      <c r="S49" t="s">
        <v>29</v>
      </c>
      <c r="V49" t="s">
        <v>206</v>
      </c>
    </row>
    <row r="50" spans="1:23" x14ac:dyDescent="0.3">
      <c r="A50" t="s">
        <v>471</v>
      </c>
      <c r="B50" t="s">
        <v>141</v>
      </c>
      <c r="C50" t="s">
        <v>472</v>
      </c>
      <c r="D50" t="s">
        <v>249</v>
      </c>
      <c r="E50" t="s">
        <v>267</v>
      </c>
      <c r="F50" t="s">
        <v>268</v>
      </c>
      <c r="G50" t="s">
        <v>473</v>
      </c>
      <c r="H50" t="s">
        <v>474</v>
      </c>
      <c r="I50" t="s">
        <v>475</v>
      </c>
      <c r="J50" t="s">
        <v>270</v>
      </c>
      <c r="K50" t="s">
        <v>255</v>
      </c>
      <c r="L50" t="s">
        <v>255</v>
      </c>
      <c r="M50" t="s">
        <v>112</v>
      </c>
      <c r="N50" t="s">
        <v>141</v>
      </c>
      <c r="Q50" t="s">
        <v>204</v>
      </c>
      <c r="R50" t="s">
        <v>207</v>
      </c>
      <c r="S50" t="s">
        <v>29</v>
      </c>
      <c r="V50" t="s">
        <v>208</v>
      </c>
    </row>
    <row r="51" spans="1:23" x14ac:dyDescent="0.3">
      <c r="A51" t="s">
        <v>476</v>
      </c>
      <c r="B51" t="s">
        <v>477</v>
      </c>
      <c r="C51" t="s">
        <v>478</v>
      </c>
      <c r="D51" t="s">
        <v>249</v>
      </c>
      <c r="E51" t="s">
        <v>479</v>
      </c>
      <c r="F51" t="s">
        <v>268</v>
      </c>
      <c r="G51" t="s">
        <v>480</v>
      </c>
      <c r="H51" t="s">
        <v>481</v>
      </c>
      <c r="I51" t="s">
        <v>482</v>
      </c>
      <c r="J51" t="s">
        <v>270</v>
      </c>
      <c r="K51" t="s">
        <v>255</v>
      </c>
      <c r="L51" t="s">
        <v>255</v>
      </c>
      <c r="M51" t="s">
        <v>112</v>
      </c>
      <c r="N51" t="s">
        <v>477</v>
      </c>
      <c r="Q51" t="s">
        <v>209</v>
      </c>
      <c r="R51" t="s">
        <v>210</v>
      </c>
      <c r="S51" t="s">
        <v>29</v>
      </c>
      <c r="V51" t="s">
        <v>211</v>
      </c>
    </row>
    <row r="52" spans="1:23" x14ac:dyDescent="0.3">
      <c r="A52" t="s">
        <v>483</v>
      </c>
      <c r="B52" t="s">
        <v>82</v>
      </c>
      <c r="C52" t="s">
        <v>484</v>
      </c>
      <c r="D52" t="s">
        <v>249</v>
      </c>
      <c r="E52" t="s">
        <v>85</v>
      </c>
      <c r="F52" t="s">
        <v>268</v>
      </c>
      <c r="G52" t="s">
        <v>260</v>
      </c>
      <c r="H52" t="s">
        <v>485</v>
      </c>
      <c r="I52" t="s">
        <v>486</v>
      </c>
      <c r="J52" t="s">
        <v>255</v>
      </c>
      <c r="K52" t="s">
        <v>270</v>
      </c>
      <c r="L52" t="s">
        <v>255</v>
      </c>
      <c r="M52" t="s">
        <v>219</v>
      </c>
      <c r="N52" t="s">
        <v>82</v>
      </c>
      <c r="O52" t="s">
        <v>487</v>
      </c>
      <c r="Q52" t="s">
        <v>212</v>
      </c>
      <c r="R52" t="s">
        <v>213</v>
      </c>
      <c r="S52" t="s">
        <v>29</v>
      </c>
      <c r="V52" t="s">
        <v>214</v>
      </c>
      <c r="W52" t="s">
        <v>215</v>
      </c>
    </row>
    <row r="53" spans="1:23" x14ac:dyDescent="0.3">
      <c r="A53" t="s">
        <v>264</v>
      </c>
      <c r="B53" t="s">
        <v>488</v>
      </c>
      <c r="C53" t="s">
        <v>489</v>
      </c>
      <c r="D53" t="s">
        <v>249</v>
      </c>
      <c r="E53" t="s">
        <v>490</v>
      </c>
      <c r="F53" t="s">
        <v>268</v>
      </c>
      <c r="G53" t="s">
        <v>491</v>
      </c>
      <c r="H53" t="s">
        <v>492</v>
      </c>
      <c r="I53" t="s">
        <v>493</v>
      </c>
      <c r="J53" t="s">
        <v>270</v>
      </c>
      <c r="K53" t="s">
        <v>255</v>
      </c>
      <c r="L53" t="s">
        <v>255</v>
      </c>
      <c r="M53" t="s">
        <v>112</v>
      </c>
      <c r="N53" t="s">
        <v>494</v>
      </c>
      <c r="Q53" t="s">
        <v>216</v>
      </c>
      <c r="R53" t="s">
        <v>217</v>
      </c>
      <c r="V53" t="s">
        <v>218</v>
      </c>
    </row>
    <row r="54" spans="1:23" x14ac:dyDescent="0.3">
      <c r="A54" t="s">
        <v>495</v>
      </c>
      <c r="B54" t="s">
        <v>496</v>
      </c>
      <c r="C54" t="s">
        <v>497</v>
      </c>
      <c r="D54" t="s">
        <v>249</v>
      </c>
      <c r="E54" t="s">
        <v>498</v>
      </c>
      <c r="F54" t="s">
        <v>268</v>
      </c>
      <c r="G54" t="s">
        <v>252</v>
      </c>
      <c r="H54" t="s">
        <v>499</v>
      </c>
      <c r="I54" t="s">
        <v>500</v>
      </c>
      <c r="J54" t="s">
        <v>270</v>
      </c>
      <c r="K54" t="s">
        <v>255</v>
      </c>
      <c r="L54" t="s">
        <v>255</v>
      </c>
      <c r="M54" t="s">
        <v>112</v>
      </c>
      <c r="N54" t="s">
        <v>501</v>
      </c>
      <c r="Q54" t="s">
        <v>219</v>
      </c>
      <c r="R54" t="s">
        <v>220</v>
      </c>
      <c r="T54" t="s">
        <v>221</v>
      </c>
      <c r="W54" t="s">
        <v>127</v>
      </c>
    </row>
    <row r="55" spans="1:23" x14ac:dyDescent="0.3">
      <c r="A55" t="s">
        <v>502</v>
      </c>
      <c r="B55" t="s">
        <v>158</v>
      </c>
      <c r="C55" t="s">
        <v>503</v>
      </c>
      <c r="D55" t="s">
        <v>249</v>
      </c>
      <c r="E55" t="s">
        <v>504</v>
      </c>
      <c r="F55" t="s">
        <v>268</v>
      </c>
      <c r="G55" t="s">
        <v>252</v>
      </c>
      <c r="H55" t="s">
        <v>505</v>
      </c>
      <c r="I55" t="s">
        <v>506</v>
      </c>
      <c r="J55" t="s">
        <v>270</v>
      </c>
      <c r="K55" t="s">
        <v>255</v>
      </c>
      <c r="L55" t="s">
        <v>255</v>
      </c>
      <c r="M55" t="s">
        <v>112</v>
      </c>
      <c r="N55" t="s">
        <v>158</v>
      </c>
      <c r="Q55" t="s">
        <v>222</v>
      </c>
      <c r="R55" t="s">
        <v>223</v>
      </c>
      <c r="T55" t="s">
        <v>44</v>
      </c>
      <c r="U55" t="s">
        <v>224</v>
      </c>
    </row>
    <row r="56" spans="1:23" x14ac:dyDescent="0.3">
      <c r="A56" t="s">
        <v>507</v>
      </c>
      <c r="B56" t="s">
        <v>219</v>
      </c>
      <c r="C56" t="s">
        <v>508</v>
      </c>
      <c r="D56" t="s">
        <v>249</v>
      </c>
      <c r="E56" t="s">
        <v>504</v>
      </c>
      <c r="F56" t="s">
        <v>268</v>
      </c>
      <c r="G56" t="s">
        <v>509</v>
      </c>
      <c r="H56" t="s">
        <v>510</v>
      </c>
      <c r="I56" t="s">
        <v>511</v>
      </c>
      <c r="J56" t="s">
        <v>270</v>
      </c>
      <c r="K56" t="s">
        <v>255</v>
      </c>
      <c r="L56" t="s">
        <v>255</v>
      </c>
      <c r="M56" t="s">
        <v>158</v>
      </c>
      <c r="N56" t="s">
        <v>219</v>
      </c>
      <c r="Q56" t="s">
        <v>225</v>
      </c>
      <c r="R56" t="s">
        <v>226</v>
      </c>
      <c r="S56" t="s">
        <v>29</v>
      </c>
      <c r="T56" t="s">
        <v>227</v>
      </c>
      <c r="U56" t="s">
        <v>228</v>
      </c>
      <c r="W56" t="s">
        <v>229</v>
      </c>
    </row>
    <row r="57" spans="1:23" x14ac:dyDescent="0.3">
      <c r="A57" t="s">
        <v>512</v>
      </c>
      <c r="B57" t="s">
        <v>513</v>
      </c>
      <c r="C57" t="s">
        <v>514</v>
      </c>
      <c r="D57" t="s">
        <v>249</v>
      </c>
      <c r="E57" t="s">
        <v>490</v>
      </c>
      <c r="F57" t="s">
        <v>268</v>
      </c>
      <c r="G57" t="s">
        <v>515</v>
      </c>
      <c r="H57" t="s">
        <v>516</v>
      </c>
      <c r="I57" t="s">
        <v>517</v>
      </c>
      <c r="J57" t="s">
        <v>270</v>
      </c>
      <c r="K57" t="s">
        <v>255</v>
      </c>
      <c r="L57" t="s">
        <v>255</v>
      </c>
      <c r="M57" t="s">
        <v>112</v>
      </c>
      <c r="N57" t="s">
        <v>518</v>
      </c>
      <c r="Q57" t="s">
        <v>230</v>
      </c>
      <c r="R57" t="s">
        <v>231</v>
      </c>
      <c r="S57" t="s">
        <v>232</v>
      </c>
      <c r="T57" t="s">
        <v>44</v>
      </c>
      <c r="U57" t="s">
        <v>233</v>
      </c>
      <c r="W57" t="s">
        <v>85</v>
      </c>
    </row>
    <row r="58" spans="1:23" x14ac:dyDescent="0.3">
      <c r="A58" t="s">
        <v>519</v>
      </c>
      <c r="B58" t="s">
        <v>520</v>
      </c>
      <c r="C58" t="s">
        <v>521</v>
      </c>
      <c r="D58" t="s">
        <v>522</v>
      </c>
      <c r="E58" t="s">
        <v>523</v>
      </c>
      <c r="F58" t="s">
        <v>268</v>
      </c>
      <c r="G58" t="s">
        <v>312</v>
      </c>
      <c r="H58" t="s">
        <v>524</v>
      </c>
      <c r="I58" t="s">
        <v>525</v>
      </c>
      <c r="J58" t="s">
        <v>270</v>
      </c>
      <c r="K58" t="s">
        <v>270</v>
      </c>
      <c r="L58" t="s">
        <v>255</v>
      </c>
      <c r="M58" t="s">
        <v>219</v>
      </c>
      <c r="N58" t="s">
        <v>520</v>
      </c>
      <c r="Q58" t="s">
        <v>234</v>
      </c>
      <c r="S58" t="s">
        <v>232</v>
      </c>
      <c r="T58" t="s">
        <v>235</v>
      </c>
      <c r="U58" t="s">
        <v>236</v>
      </c>
      <c r="V58" t="s">
        <v>237</v>
      </c>
      <c r="W58" t="s">
        <v>37</v>
      </c>
    </row>
    <row r="59" spans="1:23" x14ac:dyDescent="0.3">
      <c r="A59" t="s">
        <v>526</v>
      </c>
      <c r="B59" t="s">
        <v>527</v>
      </c>
      <c r="C59" t="s">
        <v>528</v>
      </c>
      <c r="D59" t="s">
        <v>249</v>
      </c>
      <c r="E59" t="s">
        <v>498</v>
      </c>
      <c r="F59" t="s">
        <v>268</v>
      </c>
      <c r="G59" t="s">
        <v>302</v>
      </c>
      <c r="H59" t="s">
        <v>529</v>
      </c>
      <c r="I59" t="s">
        <v>530</v>
      </c>
      <c r="J59" t="s">
        <v>270</v>
      </c>
      <c r="K59" t="s">
        <v>255</v>
      </c>
      <c r="L59" t="s">
        <v>255</v>
      </c>
      <c r="M59" t="s">
        <v>112</v>
      </c>
      <c r="N59" t="s">
        <v>531</v>
      </c>
      <c r="Q59" t="s">
        <v>238</v>
      </c>
      <c r="R59" t="s">
        <v>239</v>
      </c>
      <c r="S59" t="s">
        <v>232</v>
      </c>
    </row>
    <row r="60" spans="1:23" x14ac:dyDescent="0.3">
      <c r="A60" t="s">
        <v>532</v>
      </c>
      <c r="B60" t="s">
        <v>116</v>
      </c>
      <c r="C60" t="s">
        <v>533</v>
      </c>
      <c r="D60" t="s">
        <v>249</v>
      </c>
      <c r="E60" t="s">
        <v>119</v>
      </c>
      <c r="F60" t="s">
        <v>268</v>
      </c>
      <c r="G60" t="s">
        <v>312</v>
      </c>
      <c r="H60" t="s">
        <v>534</v>
      </c>
      <c r="I60" t="s">
        <v>535</v>
      </c>
      <c r="J60" t="s">
        <v>270</v>
      </c>
      <c r="K60" t="s">
        <v>270</v>
      </c>
      <c r="L60" t="s">
        <v>255</v>
      </c>
      <c r="M60" t="s">
        <v>112</v>
      </c>
      <c r="N60" t="s">
        <v>116</v>
      </c>
      <c r="Q60" t="s">
        <v>240</v>
      </c>
      <c r="T60" t="s">
        <v>241</v>
      </c>
      <c r="U60" t="s">
        <v>242</v>
      </c>
    </row>
    <row r="61" spans="1:23" x14ac:dyDescent="0.3">
      <c r="A61" t="s">
        <v>536</v>
      </c>
      <c r="B61" t="s">
        <v>537</v>
      </c>
      <c r="C61" t="s">
        <v>538</v>
      </c>
      <c r="D61" t="s">
        <v>249</v>
      </c>
      <c r="E61" t="s">
        <v>85</v>
      </c>
      <c r="F61" t="s">
        <v>268</v>
      </c>
      <c r="G61" t="s">
        <v>302</v>
      </c>
      <c r="H61" t="s">
        <v>539</v>
      </c>
      <c r="I61" t="s">
        <v>540</v>
      </c>
      <c r="J61" t="s">
        <v>270</v>
      </c>
      <c r="K61" t="s">
        <v>270</v>
      </c>
      <c r="L61" t="s">
        <v>255</v>
      </c>
      <c r="M61" t="s">
        <v>219</v>
      </c>
      <c r="N61" t="s">
        <v>112</v>
      </c>
    </row>
    <row r="62" spans="1:23" x14ac:dyDescent="0.3">
      <c r="A62" t="s">
        <v>541</v>
      </c>
      <c r="B62" t="s">
        <v>109</v>
      </c>
      <c r="C62" t="s">
        <v>542</v>
      </c>
      <c r="D62" t="s">
        <v>522</v>
      </c>
      <c r="E62" t="s">
        <v>267</v>
      </c>
      <c r="F62" t="s">
        <v>268</v>
      </c>
      <c r="G62" t="s">
        <v>260</v>
      </c>
      <c r="H62" t="s">
        <v>543</v>
      </c>
      <c r="I62" t="s">
        <v>544</v>
      </c>
      <c r="J62" t="s">
        <v>270</v>
      </c>
      <c r="K62" t="s">
        <v>270</v>
      </c>
      <c r="L62" t="s">
        <v>255</v>
      </c>
      <c r="M62" t="s">
        <v>545</v>
      </c>
      <c r="N62" t="s">
        <v>545</v>
      </c>
    </row>
    <row r="63" spans="1:23" x14ac:dyDescent="0.3">
      <c r="A63" t="s">
        <v>546</v>
      </c>
      <c r="B63" t="s">
        <v>547</v>
      </c>
      <c r="C63" t="s">
        <v>548</v>
      </c>
      <c r="D63" t="s">
        <v>249</v>
      </c>
      <c r="E63" t="s">
        <v>549</v>
      </c>
      <c r="F63" t="s">
        <v>268</v>
      </c>
      <c r="G63" t="s">
        <v>491</v>
      </c>
      <c r="H63" t="s">
        <v>550</v>
      </c>
      <c r="I63" t="s">
        <v>551</v>
      </c>
      <c r="J63" t="s">
        <v>270</v>
      </c>
      <c r="K63" t="s">
        <v>270</v>
      </c>
      <c r="L63" t="s">
        <v>255</v>
      </c>
      <c r="M63" t="s">
        <v>112</v>
      </c>
      <c r="N63" t="s">
        <v>182</v>
      </c>
    </row>
    <row r="64" spans="1:23" x14ac:dyDescent="0.3">
      <c r="A64" t="s">
        <v>552</v>
      </c>
      <c r="B64" t="s">
        <v>553</v>
      </c>
      <c r="C64" t="s">
        <v>554</v>
      </c>
      <c r="D64" t="s">
        <v>249</v>
      </c>
      <c r="E64" t="s">
        <v>549</v>
      </c>
      <c r="F64" t="s">
        <v>268</v>
      </c>
      <c r="G64" t="s">
        <v>302</v>
      </c>
      <c r="H64" t="s">
        <v>481</v>
      </c>
      <c r="I64" t="s">
        <v>555</v>
      </c>
      <c r="J64" t="s">
        <v>270</v>
      </c>
      <c r="K64" t="s">
        <v>270</v>
      </c>
      <c r="L64" t="s">
        <v>255</v>
      </c>
      <c r="M64" t="s">
        <v>112</v>
      </c>
      <c r="N64" t="s">
        <v>553</v>
      </c>
    </row>
    <row r="65" spans="1:15" x14ac:dyDescent="0.3">
      <c r="A65" t="s">
        <v>556</v>
      </c>
      <c r="B65" t="s">
        <v>557</v>
      </c>
      <c r="C65" t="s">
        <v>558</v>
      </c>
      <c r="D65" t="s">
        <v>249</v>
      </c>
      <c r="E65" t="s">
        <v>498</v>
      </c>
      <c r="F65" t="s">
        <v>268</v>
      </c>
      <c r="G65" t="s">
        <v>559</v>
      </c>
      <c r="H65" t="s">
        <v>560</v>
      </c>
      <c r="I65" t="s">
        <v>561</v>
      </c>
      <c r="J65" t="s">
        <v>270</v>
      </c>
      <c r="K65" t="s">
        <v>270</v>
      </c>
      <c r="L65" t="s">
        <v>255</v>
      </c>
      <c r="M65" t="s">
        <v>112</v>
      </c>
      <c r="N65" t="s">
        <v>128</v>
      </c>
    </row>
    <row r="66" spans="1:15" x14ac:dyDescent="0.3">
      <c r="A66" t="s">
        <v>562</v>
      </c>
      <c r="B66" t="s">
        <v>563</v>
      </c>
      <c r="C66" t="s">
        <v>564</v>
      </c>
      <c r="D66" t="s">
        <v>249</v>
      </c>
      <c r="E66" t="s">
        <v>32</v>
      </c>
      <c r="F66" t="s">
        <v>268</v>
      </c>
      <c r="G66" t="s">
        <v>509</v>
      </c>
      <c r="H66" t="s">
        <v>510</v>
      </c>
      <c r="I66" t="s">
        <v>565</v>
      </c>
      <c r="J66" t="s">
        <v>270</v>
      </c>
      <c r="K66" t="s">
        <v>270</v>
      </c>
      <c r="L66" t="s">
        <v>255</v>
      </c>
      <c r="M66" t="s">
        <v>112</v>
      </c>
      <c r="N66" t="s">
        <v>282</v>
      </c>
    </row>
    <row r="67" spans="1:15" x14ac:dyDescent="0.3">
      <c r="A67" t="s">
        <v>566</v>
      </c>
      <c r="B67" t="s">
        <v>567</v>
      </c>
      <c r="C67" t="s">
        <v>568</v>
      </c>
      <c r="D67" t="s">
        <v>249</v>
      </c>
      <c r="E67" t="s">
        <v>32</v>
      </c>
      <c r="F67" t="s">
        <v>268</v>
      </c>
      <c r="G67" t="s">
        <v>569</v>
      </c>
      <c r="H67" t="s">
        <v>570</v>
      </c>
      <c r="I67" t="s">
        <v>571</v>
      </c>
      <c r="J67" t="s">
        <v>270</v>
      </c>
      <c r="K67" t="s">
        <v>270</v>
      </c>
      <c r="L67" t="s">
        <v>255</v>
      </c>
      <c r="M67" t="s">
        <v>112</v>
      </c>
      <c r="N67" t="s">
        <v>112</v>
      </c>
    </row>
    <row r="68" spans="1:15" x14ac:dyDescent="0.3">
      <c r="A68" t="s">
        <v>572</v>
      </c>
      <c r="B68" t="s">
        <v>61</v>
      </c>
      <c r="C68" t="s">
        <v>573</v>
      </c>
      <c r="D68" t="s">
        <v>249</v>
      </c>
      <c r="E68" t="s">
        <v>574</v>
      </c>
      <c r="F68" t="s">
        <v>268</v>
      </c>
      <c r="G68" t="s">
        <v>302</v>
      </c>
      <c r="H68" t="s">
        <v>481</v>
      </c>
      <c r="I68" t="s">
        <v>575</v>
      </c>
      <c r="J68" t="s">
        <v>270</v>
      </c>
      <c r="K68" t="s">
        <v>270</v>
      </c>
      <c r="L68" t="s">
        <v>255</v>
      </c>
      <c r="M68" t="s">
        <v>112</v>
      </c>
      <c r="N68" t="s">
        <v>61</v>
      </c>
    </row>
    <row r="69" spans="1:15" x14ac:dyDescent="0.3">
      <c r="A69" t="s">
        <v>576</v>
      </c>
      <c r="B69" t="s">
        <v>86</v>
      </c>
      <c r="C69" t="s">
        <v>577</v>
      </c>
      <c r="D69" t="s">
        <v>249</v>
      </c>
      <c r="E69" t="s">
        <v>549</v>
      </c>
      <c r="F69" t="s">
        <v>268</v>
      </c>
      <c r="G69" t="s">
        <v>559</v>
      </c>
      <c r="H69" t="s">
        <v>578</v>
      </c>
      <c r="I69" t="s">
        <v>579</v>
      </c>
      <c r="J69" t="s">
        <v>270</v>
      </c>
      <c r="K69" t="s">
        <v>270</v>
      </c>
      <c r="L69" t="s">
        <v>255</v>
      </c>
      <c r="M69" t="s">
        <v>112</v>
      </c>
      <c r="N69" t="s">
        <v>86</v>
      </c>
    </row>
    <row r="70" spans="1:15" x14ac:dyDescent="0.3">
      <c r="A70" t="s">
        <v>580</v>
      </c>
      <c r="B70" t="s">
        <v>581</v>
      </c>
      <c r="C70" t="s">
        <v>582</v>
      </c>
      <c r="D70" t="s">
        <v>249</v>
      </c>
      <c r="E70" t="s">
        <v>583</v>
      </c>
      <c r="F70" t="s">
        <v>268</v>
      </c>
      <c r="G70" t="s">
        <v>491</v>
      </c>
      <c r="H70" t="s">
        <v>584</v>
      </c>
      <c r="I70" t="s">
        <v>585</v>
      </c>
      <c r="J70" t="s">
        <v>270</v>
      </c>
      <c r="K70" t="s">
        <v>270</v>
      </c>
      <c r="L70" t="s">
        <v>255</v>
      </c>
      <c r="M70" t="s">
        <v>112</v>
      </c>
      <c r="N70" t="s">
        <v>581</v>
      </c>
    </row>
    <row r="71" spans="1:15" x14ac:dyDescent="0.3">
      <c r="A71" t="s">
        <v>586</v>
      </c>
      <c r="B71" t="s">
        <v>144</v>
      </c>
      <c r="C71" t="s">
        <v>587</v>
      </c>
      <c r="D71" t="s">
        <v>249</v>
      </c>
      <c r="E71" t="s">
        <v>85</v>
      </c>
      <c r="F71" t="s">
        <v>268</v>
      </c>
      <c r="G71" t="s">
        <v>509</v>
      </c>
      <c r="H71" t="s">
        <v>588</v>
      </c>
      <c r="I71" t="s">
        <v>589</v>
      </c>
      <c r="J71" t="s">
        <v>270</v>
      </c>
      <c r="K71" t="s">
        <v>270</v>
      </c>
      <c r="L71" t="s">
        <v>255</v>
      </c>
      <c r="M71" t="s">
        <v>124</v>
      </c>
      <c r="N71" t="s">
        <v>144</v>
      </c>
    </row>
    <row r="72" spans="1:15" x14ac:dyDescent="0.3">
      <c r="A72" t="s">
        <v>590</v>
      </c>
      <c r="B72" t="s">
        <v>38</v>
      </c>
      <c r="C72" t="s">
        <v>591</v>
      </c>
      <c r="D72" t="s">
        <v>249</v>
      </c>
      <c r="E72" t="s">
        <v>549</v>
      </c>
      <c r="F72" t="s">
        <v>268</v>
      </c>
      <c r="G72" t="s">
        <v>569</v>
      </c>
      <c r="H72" t="s">
        <v>592</v>
      </c>
      <c r="I72" t="s">
        <v>593</v>
      </c>
      <c r="J72" t="s">
        <v>270</v>
      </c>
      <c r="K72" t="s">
        <v>270</v>
      </c>
      <c r="L72" t="s">
        <v>255</v>
      </c>
      <c r="M72" t="s">
        <v>124</v>
      </c>
      <c r="N72" t="s">
        <v>38</v>
      </c>
    </row>
    <row r="73" spans="1:15" x14ac:dyDescent="0.3">
      <c r="B73" t="s">
        <v>594</v>
      </c>
      <c r="C73" t="s">
        <v>595</v>
      </c>
      <c r="D73" t="s">
        <v>336</v>
      </c>
      <c r="E73" t="s">
        <v>250</v>
      </c>
      <c r="F73" t="s">
        <v>596</v>
      </c>
      <c r="J73" t="s">
        <v>270</v>
      </c>
      <c r="K73" t="s">
        <v>270</v>
      </c>
      <c r="L73" t="s">
        <v>255</v>
      </c>
      <c r="M73" t="s">
        <v>219</v>
      </c>
      <c r="N73" t="s">
        <v>74</v>
      </c>
      <c r="O73" t="s">
        <v>597</v>
      </c>
    </row>
    <row r="74" spans="1:15" x14ac:dyDescent="0.3">
      <c r="A74" t="s">
        <v>598</v>
      </c>
      <c r="B74" t="s">
        <v>599</v>
      </c>
      <c r="C74" t="s">
        <v>595</v>
      </c>
      <c r="D74" t="s">
        <v>249</v>
      </c>
      <c r="E74" t="s">
        <v>250</v>
      </c>
      <c r="F74" t="s">
        <v>600</v>
      </c>
      <c r="G74" t="s">
        <v>491</v>
      </c>
      <c r="H74" t="s">
        <v>601</v>
      </c>
      <c r="I74" t="s">
        <v>602</v>
      </c>
      <c r="J74" t="s">
        <v>270</v>
      </c>
      <c r="K74" t="s">
        <v>270</v>
      </c>
      <c r="L74" t="s">
        <v>255</v>
      </c>
      <c r="M74" t="s">
        <v>219</v>
      </c>
      <c r="N74" t="s">
        <v>74</v>
      </c>
    </row>
    <row r="75" spans="1:15" x14ac:dyDescent="0.3">
      <c r="B75" t="s">
        <v>603</v>
      </c>
      <c r="C75" t="s">
        <v>595</v>
      </c>
      <c r="D75" t="s">
        <v>249</v>
      </c>
      <c r="E75" t="s">
        <v>250</v>
      </c>
      <c r="F75" t="s">
        <v>604</v>
      </c>
      <c r="I75" t="s">
        <v>448</v>
      </c>
      <c r="J75" t="s">
        <v>270</v>
      </c>
      <c r="K75" t="s">
        <v>255</v>
      </c>
      <c r="L75" t="s">
        <v>255</v>
      </c>
      <c r="M75" t="s">
        <v>219</v>
      </c>
      <c r="N75" t="s">
        <v>74</v>
      </c>
    </row>
    <row r="76" spans="1:15" x14ac:dyDescent="0.3">
      <c r="A76" t="s">
        <v>605</v>
      </c>
      <c r="B76" t="s">
        <v>606</v>
      </c>
      <c r="C76" t="s">
        <v>595</v>
      </c>
      <c r="D76" t="s">
        <v>249</v>
      </c>
      <c r="E76" t="s">
        <v>250</v>
      </c>
      <c r="F76" t="s">
        <v>607</v>
      </c>
      <c r="G76" t="s">
        <v>491</v>
      </c>
      <c r="H76" t="s">
        <v>601</v>
      </c>
      <c r="I76" t="s">
        <v>608</v>
      </c>
      <c r="J76" t="s">
        <v>270</v>
      </c>
      <c r="K76" t="s">
        <v>270</v>
      </c>
      <c r="L76" t="s">
        <v>270</v>
      </c>
      <c r="M76" t="s">
        <v>219</v>
      </c>
      <c r="N76" t="s">
        <v>74</v>
      </c>
    </row>
    <row r="77" spans="1:15" x14ac:dyDescent="0.3">
      <c r="B77" t="s">
        <v>609</v>
      </c>
      <c r="C77" t="s">
        <v>595</v>
      </c>
      <c r="D77" t="s">
        <v>249</v>
      </c>
      <c r="E77" t="s">
        <v>250</v>
      </c>
      <c r="F77" t="s">
        <v>610</v>
      </c>
      <c r="I77" t="s">
        <v>448</v>
      </c>
      <c r="J77" t="s">
        <v>270</v>
      </c>
      <c r="K77" t="s">
        <v>255</v>
      </c>
      <c r="L77" t="s">
        <v>255</v>
      </c>
      <c r="M77" t="s">
        <v>219</v>
      </c>
      <c r="N77" t="s">
        <v>74</v>
      </c>
    </row>
    <row r="78" spans="1:15" x14ac:dyDescent="0.3">
      <c r="A78" t="s">
        <v>611</v>
      </c>
      <c r="B78" t="s">
        <v>612</v>
      </c>
      <c r="C78" t="s">
        <v>595</v>
      </c>
      <c r="D78" t="s">
        <v>249</v>
      </c>
      <c r="E78" t="s">
        <v>250</v>
      </c>
      <c r="F78" t="s">
        <v>613</v>
      </c>
      <c r="G78" t="s">
        <v>491</v>
      </c>
      <c r="H78" t="s">
        <v>601</v>
      </c>
      <c r="I78" t="s">
        <v>614</v>
      </c>
      <c r="J78" t="s">
        <v>270</v>
      </c>
      <c r="K78" t="s">
        <v>255</v>
      </c>
      <c r="L78" t="s">
        <v>255</v>
      </c>
      <c r="M78" t="s">
        <v>219</v>
      </c>
      <c r="N78" t="s">
        <v>74</v>
      </c>
    </row>
    <row r="79" spans="1:15" x14ac:dyDescent="0.3">
      <c r="B79" t="s">
        <v>615</v>
      </c>
      <c r="C79" t="s">
        <v>595</v>
      </c>
      <c r="D79" t="s">
        <v>336</v>
      </c>
      <c r="E79" t="s">
        <v>250</v>
      </c>
      <c r="F79" t="s">
        <v>616</v>
      </c>
      <c r="J79" t="s">
        <v>270</v>
      </c>
      <c r="K79" t="s">
        <v>255</v>
      </c>
      <c r="L79" t="s">
        <v>255</v>
      </c>
      <c r="M79" t="s">
        <v>219</v>
      </c>
      <c r="N79" t="s">
        <v>74</v>
      </c>
      <c r="O79" t="s">
        <v>597</v>
      </c>
    </row>
    <row r="80" spans="1:15" x14ac:dyDescent="0.3">
      <c r="B80" t="s">
        <v>617</v>
      </c>
      <c r="C80" t="s">
        <v>595</v>
      </c>
      <c r="D80" t="s">
        <v>249</v>
      </c>
      <c r="E80" t="s">
        <v>250</v>
      </c>
      <c r="F80" t="s">
        <v>618</v>
      </c>
      <c r="I80" t="s">
        <v>448</v>
      </c>
      <c r="J80" t="s">
        <v>270</v>
      </c>
      <c r="K80" t="s">
        <v>255</v>
      </c>
      <c r="L80" t="s">
        <v>255</v>
      </c>
      <c r="M80" t="s">
        <v>219</v>
      </c>
      <c r="N80" t="s">
        <v>74</v>
      </c>
    </row>
    <row r="81" spans="1:15" x14ac:dyDescent="0.3">
      <c r="B81" t="s">
        <v>619</v>
      </c>
      <c r="C81" t="s">
        <v>595</v>
      </c>
      <c r="D81" t="s">
        <v>249</v>
      </c>
      <c r="E81" t="s">
        <v>250</v>
      </c>
      <c r="F81" t="s">
        <v>620</v>
      </c>
      <c r="I81" t="s">
        <v>448</v>
      </c>
      <c r="J81" t="s">
        <v>270</v>
      </c>
      <c r="K81" t="s">
        <v>255</v>
      </c>
      <c r="L81" t="s">
        <v>255</v>
      </c>
      <c r="M81" t="s">
        <v>219</v>
      </c>
      <c r="N81" t="s">
        <v>74</v>
      </c>
    </row>
    <row r="82" spans="1:15" x14ac:dyDescent="0.3">
      <c r="A82" t="s">
        <v>621</v>
      </c>
      <c r="B82" t="s">
        <v>622</v>
      </c>
      <c r="C82" t="s">
        <v>595</v>
      </c>
      <c r="D82" t="s">
        <v>249</v>
      </c>
      <c r="E82" t="s">
        <v>250</v>
      </c>
      <c r="F82" t="s">
        <v>623</v>
      </c>
      <c r="G82" t="s">
        <v>252</v>
      </c>
      <c r="H82" t="s">
        <v>624</v>
      </c>
      <c r="I82" t="s">
        <v>625</v>
      </c>
      <c r="J82" t="s">
        <v>270</v>
      </c>
      <c r="K82" t="s">
        <v>255</v>
      </c>
      <c r="L82" t="s">
        <v>255</v>
      </c>
      <c r="M82" t="s">
        <v>219</v>
      </c>
      <c r="N82" t="s">
        <v>74</v>
      </c>
    </row>
    <row r="83" spans="1:15" x14ac:dyDescent="0.3">
      <c r="B83" t="s">
        <v>626</v>
      </c>
      <c r="C83" t="s">
        <v>542</v>
      </c>
      <c r="D83" t="s">
        <v>336</v>
      </c>
      <c r="E83" t="s">
        <v>250</v>
      </c>
      <c r="F83" t="s">
        <v>627</v>
      </c>
      <c r="J83" t="s">
        <v>270</v>
      </c>
      <c r="K83" t="s">
        <v>255</v>
      </c>
      <c r="L83" t="s">
        <v>255</v>
      </c>
      <c r="M83" t="s">
        <v>219</v>
      </c>
      <c r="N83" t="s">
        <v>74</v>
      </c>
      <c r="O83" t="s">
        <v>597</v>
      </c>
    </row>
    <row r="84" spans="1:15" x14ac:dyDescent="0.3">
      <c r="B84" t="s">
        <v>628</v>
      </c>
      <c r="C84" t="s">
        <v>595</v>
      </c>
      <c r="D84" t="s">
        <v>336</v>
      </c>
      <c r="E84" t="s">
        <v>250</v>
      </c>
      <c r="F84" t="s">
        <v>629</v>
      </c>
      <c r="J84" t="s">
        <v>270</v>
      </c>
      <c r="K84" t="s">
        <v>255</v>
      </c>
      <c r="L84" t="s">
        <v>255</v>
      </c>
      <c r="M84" t="s">
        <v>219</v>
      </c>
      <c r="N84" t="s">
        <v>74</v>
      </c>
      <c r="O84" t="s">
        <v>597</v>
      </c>
    </row>
    <row r="85" spans="1:15" x14ac:dyDescent="0.3">
      <c r="B85" t="s">
        <v>630</v>
      </c>
      <c r="C85" t="s">
        <v>595</v>
      </c>
      <c r="D85" t="s">
        <v>249</v>
      </c>
      <c r="E85" t="s">
        <v>250</v>
      </c>
      <c r="F85" t="s">
        <v>274</v>
      </c>
      <c r="I85" t="s">
        <v>448</v>
      </c>
      <c r="J85" t="s">
        <v>270</v>
      </c>
      <c r="K85" t="s">
        <v>255</v>
      </c>
      <c r="L85" t="s">
        <v>255</v>
      </c>
      <c r="M85" t="s">
        <v>219</v>
      </c>
      <c r="N85" t="s">
        <v>74</v>
      </c>
    </row>
    <row r="86" spans="1:15" x14ac:dyDescent="0.3">
      <c r="B86" t="s">
        <v>631</v>
      </c>
      <c r="C86" t="s">
        <v>595</v>
      </c>
      <c r="D86" t="s">
        <v>249</v>
      </c>
      <c r="E86" t="s">
        <v>250</v>
      </c>
      <c r="F86" t="s">
        <v>632</v>
      </c>
      <c r="I86" t="s">
        <v>448</v>
      </c>
      <c r="J86" t="s">
        <v>270</v>
      </c>
      <c r="K86" t="s">
        <v>255</v>
      </c>
      <c r="L86" t="s">
        <v>255</v>
      </c>
      <c r="M86" t="s">
        <v>219</v>
      </c>
      <c r="N86" t="s">
        <v>74</v>
      </c>
    </row>
    <row r="87" spans="1:15" x14ac:dyDescent="0.3">
      <c r="A87" t="s">
        <v>633</v>
      </c>
      <c r="B87" t="s">
        <v>634</v>
      </c>
      <c r="C87" t="s">
        <v>635</v>
      </c>
      <c r="D87" t="s">
        <v>249</v>
      </c>
      <c r="E87" t="s">
        <v>37</v>
      </c>
      <c r="G87" t="s">
        <v>252</v>
      </c>
      <c r="H87" t="s">
        <v>636</v>
      </c>
      <c r="I87" t="s">
        <v>637</v>
      </c>
      <c r="J87" t="s">
        <v>270</v>
      </c>
      <c r="K87" t="s">
        <v>270</v>
      </c>
      <c r="L87" t="s">
        <v>270</v>
      </c>
      <c r="M87" t="s">
        <v>112</v>
      </c>
      <c r="N87" t="s">
        <v>638</v>
      </c>
    </row>
    <row r="88" spans="1:15" x14ac:dyDescent="0.3">
      <c r="A88" t="s">
        <v>639</v>
      </c>
      <c r="B88" t="s">
        <v>638</v>
      </c>
      <c r="C88" t="s">
        <v>635</v>
      </c>
      <c r="D88" t="s">
        <v>249</v>
      </c>
      <c r="E88" t="s">
        <v>37</v>
      </c>
      <c r="G88" t="s">
        <v>252</v>
      </c>
      <c r="H88" t="s">
        <v>636</v>
      </c>
      <c r="I88" t="s">
        <v>640</v>
      </c>
      <c r="J88" t="s">
        <v>270</v>
      </c>
      <c r="K88" t="s">
        <v>270</v>
      </c>
      <c r="L88" t="s">
        <v>255</v>
      </c>
      <c r="M88" t="s">
        <v>112</v>
      </c>
      <c r="N88" t="s">
        <v>638</v>
      </c>
    </row>
    <row r="89" spans="1:15" x14ac:dyDescent="0.3">
      <c r="A89" t="s">
        <v>410</v>
      </c>
      <c r="B89" t="s">
        <v>411</v>
      </c>
      <c r="C89" t="s">
        <v>641</v>
      </c>
      <c r="D89" t="s">
        <v>249</v>
      </c>
      <c r="E89" t="s">
        <v>119</v>
      </c>
      <c r="G89" t="s">
        <v>260</v>
      </c>
      <c r="H89" t="s">
        <v>642</v>
      </c>
      <c r="I89" t="s">
        <v>643</v>
      </c>
      <c r="J89" t="s">
        <v>255</v>
      </c>
      <c r="K89" t="s">
        <v>270</v>
      </c>
      <c r="L89" t="s">
        <v>255</v>
      </c>
      <c r="M89" t="s">
        <v>124</v>
      </c>
      <c r="N89" t="s">
        <v>411</v>
      </c>
    </row>
    <row r="90" spans="1:15" x14ac:dyDescent="0.3">
      <c r="A90" t="s">
        <v>339</v>
      </c>
      <c r="B90" t="s">
        <v>644</v>
      </c>
      <c r="C90" t="s">
        <v>645</v>
      </c>
      <c r="D90" t="s">
        <v>249</v>
      </c>
      <c r="E90" t="s">
        <v>37</v>
      </c>
      <c r="G90" t="s">
        <v>312</v>
      </c>
      <c r="H90" t="s">
        <v>646</v>
      </c>
      <c r="I90" t="s">
        <v>338</v>
      </c>
      <c r="J90" t="s">
        <v>270</v>
      </c>
      <c r="K90" t="s">
        <v>270</v>
      </c>
      <c r="L90" t="s">
        <v>255</v>
      </c>
      <c r="M90" t="s">
        <v>112</v>
      </c>
      <c r="N90" t="s">
        <v>340</v>
      </c>
    </row>
    <row r="91" spans="1:15" x14ac:dyDescent="0.3">
      <c r="B91" t="s">
        <v>647</v>
      </c>
      <c r="C91" t="s">
        <v>648</v>
      </c>
      <c r="D91" t="s">
        <v>249</v>
      </c>
      <c r="E91" t="s">
        <v>250</v>
      </c>
      <c r="G91" t="s">
        <v>260</v>
      </c>
      <c r="H91" t="s">
        <v>649</v>
      </c>
      <c r="I91" t="s">
        <v>292</v>
      </c>
      <c r="J91" t="s">
        <v>270</v>
      </c>
      <c r="K91" t="s">
        <v>270</v>
      </c>
      <c r="L91" t="s">
        <v>255</v>
      </c>
      <c r="M91" t="s">
        <v>112</v>
      </c>
      <c r="N91" t="s">
        <v>647</v>
      </c>
    </row>
    <row r="92" spans="1:15" x14ac:dyDescent="0.3">
      <c r="A92" t="s">
        <v>650</v>
      </c>
      <c r="B92" t="s">
        <v>651</v>
      </c>
      <c r="C92" t="s">
        <v>652</v>
      </c>
      <c r="D92" t="s">
        <v>249</v>
      </c>
      <c r="E92" t="s">
        <v>85</v>
      </c>
      <c r="F92" t="s">
        <v>268</v>
      </c>
      <c r="G92" t="s">
        <v>252</v>
      </c>
      <c r="H92" t="s">
        <v>320</v>
      </c>
      <c r="I92" t="s">
        <v>460</v>
      </c>
      <c r="J92" t="s">
        <v>270</v>
      </c>
      <c r="K92" t="s">
        <v>270</v>
      </c>
      <c r="L92" t="s">
        <v>255</v>
      </c>
      <c r="M92" t="s">
        <v>82</v>
      </c>
      <c r="N92" t="s">
        <v>651</v>
      </c>
    </row>
    <row r="93" spans="1:15" x14ac:dyDescent="0.3">
      <c r="B93" t="s">
        <v>653</v>
      </c>
      <c r="C93" t="s">
        <v>654</v>
      </c>
      <c r="D93" t="s">
        <v>249</v>
      </c>
      <c r="F93" t="s">
        <v>268</v>
      </c>
      <c r="G93" t="s">
        <v>312</v>
      </c>
      <c r="H93" t="s">
        <v>655</v>
      </c>
      <c r="I93" t="s">
        <v>656</v>
      </c>
      <c r="J93" t="s">
        <v>270</v>
      </c>
      <c r="K93" t="s">
        <v>270</v>
      </c>
      <c r="L93" t="s">
        <v>255</v>
      </c>
      <c r="M93" t="s">
        <v>124</v>
      </c>
      <c r="N93" t="s">
        <v>657</v>
      </c>
    </row>
    <row r="94" spans="1:15" x14ac:dyDescent="0.3">
      <c r="B94" t="s">
        <v>58</v>
      </c>
      <c r="C94" t="s">
        <v>658</v>
      </c>
      <c r="D94" t="s">
        <v>249</v>
      </c>
      <c r="E94" t="s">
        <v>250</v>
      </c>
      <c r="G94" t="s">
        <v>252</v>
      </c>
      <c r="H94" t="s">
        <v>659</v>
      </c>
      <c r="I94" t="s">
        <v>405</v>
      </c>
      <c r="J94" t="s">
        <v>270</v>
      </c>
      <c r="K94" t="s">
        <v>270</v>
      </c>
      <c r="L94" t="s">
        <v>255</v>
      </c>
      <c r="M94" t="s">
        <v>124</v>
      </c>
      <c r="N94" t="s">
        <v>520</v>
      </c>
    </row>
    <row r="95" spans="1:15" x14ac:dyDescent="0.3">
      <c r="B95" t="s">
        <v>188</v>
      </c>
      <c r="C95" t="s">
        <v>660</v>
      </c>
      <c r="D95" t="s">
        <v>249</v>
      </c>
      <c r="E95" t="s">
        <v>94</v>
      </c>
      <c r="F95" t="s">
        <v>268</v>
      </c>
      <c r="G95" t="s">
        <v>252</v>
      </c>
      <c r="H95" t="s">
        <v>659</v>
      </c>
      <c r="I95" t="s">
        <v>661</v>
      </c>
      <c r="J95" t="s">
        <v>270</v>
      </c>
      <c r="K95" t="s">
        <v>270</v>
      </c>
      <c r="L95" t="s">
        <v>255</v>
      </c>
      <c r="M95" t="s">
        <v>124</v>
      </c>
      <c r="N95" t="s">
        <v>188</v>
      </c>
    </row>
    <row r="96" spans="1:15" x14ac:dyDescent="0.3">
      <c r="A96" t="s">
        <v>662</v>
      </c>
      <c r="B96" t="s">
        <v>663</v>
      </c>
      <c r="C96" t="s">
        <v>664</v>
      </c>
      <c r="D96" t="s">
        <v>249</v>
      </c>
      <c r="E96" t="s">
        <v>119</v>
      </c>
      <c r="F96" t="s">
        <v>268</v>
      </c>
      <c r="G96" t="s">
        <v>491</v>
      </c>
      <c r="H96" t="s">
        <v>291</v>
      </c>
      <c r="I96" t="s">
        <v>665</v>
      </c>
      <c r="J96" t="s">
        <v>270</v>
      </c>
      <c r="K96" t="s">
        <v>270</v>
      </c>
      <c r="L96" t="s">
        <v>255</v>
      </c>
      <c r="M96" t="s">
        <v>124</v>
      </c>
      <c r="N96" t="s">
        <v>663</v>
      </c>
    </row>
    <row r="97" spans="1:15" x14ac:dyDescent="0.3">
      <c r="A97" t="s">
        <v>666</v>
      </c>
      <c r="B97" t="s">
        <v>667</v>
      </c>
      <c r="C97" t="s">
        <v>668</v>
      </c>
      <c r="D97" t="s">
        <v>249</v>
      </c>
      <c r="E97" t="s">
        <v>32</v>
      </c>
      <c r="G97" t="s">
        <v>569</v>
      </c>
      <c r="H97" t="s">
        <v>669</v>
      </c>
      <c r="I97" t="s">
        <v>670</v>
      </c>
      <c r="J97" t="s">
        <v>270</v>
      </c>
      <c r="K97" t="s">
        <v>270</v>
      </c>
      <c r="L97" t="s">
        <v>255</v>
      </c>
      <c r="M97" t="s">
        <v>112</v>
      </c>
      <c r="N97" t="s">
        <v>671</v>
      </c>
    </row>
    <row r="98" spans="1:15" x14ac:dyDescent="0.3">
      <c r="B98" t="s">
        <v>672</v>
      </c>
      <c r="C98" t="s">
        <v>673</v>
      </c>
      <c r="D98" t="s">
        <v>249</v>
      </c>
      <c r="E98" t="s">
        <v>674</v>
      </c>
      <c r="F98" t="s">
        <v>268</v>
      </c>
      <c r="G98" t="s">
        <v>312</v>
      </c>
      <c r="H98" t="s">
        <v>675</v>
      </c>
      <c r="I98" t="s">
        <v>676</v>
      </c>
      <c r="J98" t="s">
        <v>270</v>
      </c>
      <c r="K98" t="s">
        <v>270</v>
      </c>
      <c r="L98" t="s">
        <v>255</v>
      </c>
      <c r="M98" t="s">
        <v>124</v>
      </c>
      <c r="N98" t="s">
        <v>672</v>
      </c>
    </row>
    <row r="99" spans="1:15" x14ac:dyDescent="0.3">
      <c r="A99" t="s">
        <v>677</v>
      </c>
      <c r="B99" t="s">
        <v>185</v>
      </c>
      <c r="C99" t="s">
        <v>678</v>
      </c>
      <c r="D99" t="s">
        <v>249</v>
      </c>
      <c r="E99" t="s">
        <v>73</v>
      </c>
      <c r="G99" t="s">
        <v>312</v>
      </c>
      <c r="H99" t="s">
        <v>679</v>
      </c>
      <c r="I99" t="s">
        <v>525</v>
      </c>
      <c r="J99" t="s">
        <v>270</v>
      </c>
      <c r="K99" t="s">
        <v>270</v>
      </c>
      <c r="L99" t="s">
        <v>255</v>
      </c>
      <c r="M99" t="s">
        <v>520</v>
      </c>
      <c r="N99" t="s">
        <v>520</v>
      </c>
    </row>
    <row r="100" spans="1:15" x14ac:dyDescent="0.3">
      <c r="A100" t="s">
        <v>541</v>
      </c>
      <c r="B100" t="s">
        <v>109</v>
      </c>
      <c r="C100" t="s">
        <v>678</v>
      </c>
      <c r="D100" t="s">
        <v>249</v>
      </c>
      <c r="E100" t="s">
        <v>267</v>
      </c>
      <c r="G100" t="s">
        <v>680</v>
      </c>
      <c r="H100" t="s">
        <v>681</v>
      </c>
      <c r="I100" t="s">
        <v>448</v>
      </c>
      <c r="J100" t="s">
        <v>270</v>
      </c>
      <c r="K100" t="s">
        <v>270</v>
      </c>
      <c r="L100" t="s">
        <v>255</v>
      </c>
      <c r="M100" t="s">
        <v>520</v>
      </c>
      <c r="N100" t="s">
        <v>520</v>
      </c>
    </row>
    <row r="101" spans="1:15" x14ac:dyDescent="0.3">
      <c r="A101" t="s">
        <v>519</v>
      </c>
      <c r="B101" t="s">
        <v>520</v>
      </c>
      <c r="C101" t="s">
        <v>682</v>
      </c>
      <c r="D101" t="s">
        <v>249</v>
      </c>
      <c r="E101" t="s">
        <v>523</v>
      </c>
      <c r="G101" t="s">
        <v>491</v>
      </c>
      <c r="H101" t="s">
        <v>578</v>
      </c>
      <c r="I101" t="s">
        <v>683</v>
      </c>
      <c r="J101" t="s">
        <v>270</v>
      </c>
      <c r="K101" t="s">
        <v>270</v>
      </c>
      <c r="L101" t="s">
        <v>255</v>
      </c>
      <c r="M101" t="s">
        <v>520</v>
      </c>
      <c r="N101" t="s">
        <v>520</v>
      </c>
    </row>
    <row r="102" spans="1:15" x14ac:dyDescent="0.3">
      <c r="B102" t="s">
        <v>684</v>
      </c>
      <c r="C102" t="s">
        <v>685</v>
      </c>
      <c r="D102" t="s">
        <v>249</v>
      </c>
      <c r="E102" t="s">
        <v>686</v>
      </c>
      <c r="G102" t="s">
        <v>687</v>
      </c>
      <c r="H102" t="s">
        <v>688</v>
      </c>
      <c r="I102" t="s">
        <v>689</v>
      </c>
      <c r="J102" t="s">
        <v>270</v>
      </c>
      <c r="K102" t="s">
        <v>270</v>
      </c>
      <c r="L102" t="s">
        <v>255</v>
      </c>
      <c r="M102" t="s">
        <v>112</v>
      </c>
      <c r="N102" t="s">
        <v>684</v>
      </c>
    </row>
    <row r="103" spans="1:15" x14ac:dyDescent="0.3">
      <c r="B103" t="s">
        <v>690</v>
      </c>
      <c r="C103" t="s">
        <v>691</v>
      </c>
      <c r="D103" t="s">
        <v>249</v>
      </c>
      <c r="E103" t="s">
        <v>267</v>
      </c>
      <c r="G103" t="s">
        <v>260</v>
      </c>
      <c r="H103" t="s">
        <v>642</v>
      </c>
      <c r="I103" t="s">
        <v>544</v>
      </c>
      <c r="J103" t="s">
        <v>270</v>
      </c>
      <c r="K103" t="s">
        <v>270</v>
      </c>
      <c r="L103" t="s">
        <v>255</v>
      </c>
      <c r="M103" t="s">
        <v>124</v>
      </c>
      <c r="N103" t="s">
        <v>692</v>
      </c>
      <c r="O103" t="s">
        <v>693</v>
      </c>
    </row>
    <row r="104" spans="1:15" x14ac:dyDescent="0.3">
      <c r="B104" t="s">
        <v>230</v>
      </c>
      <c r="C104" t="s">
        <v>694</v>
      </c>
      <c r="D104" t="s">
        <v>249</v>
      </c>
      <c r="E104" t="s">
        <v>85</v>
      </c>
      <c r="G104" t="s">
        <v>312</v>
      </c>
      <c r="H104" t="s">
        <v>695</v>
      </c>
      <c r="I104" t="s">
        <v>670</v>
      </c>
      <c r="J104" t="s">
        <v>270</v>
      </c>
      <c r="K104" t="s">
        <v>270</v>
      </c>
      <c r="L104" t="s">
        <v>255</v>
      </c>
      <c r="M104" t="s">
        <v>124</v>
      </c>
      <c r="N104" t="s">
        <v>230</v>
      </c>
    </row>
    <row r="105" spans="1:15" x14ac:dyDescent="0.3">
      <c r="A105" t="s">
        <v>696</v>
      </c>
      <c r="B105" t="s">
        <v>697</v>
      </c>
      <c r="C105" t="s">
        <v>698</v>
      </c>
      <c r="D105" t="s">
        <v>249</v>
      </c>
      <c r="E105" t="s">
        <v>699</v>
      </c>
      <c r="G105" t="s">
        <v>312</v>
      </c>
      <c r="H105" t="s">
        <v>700</v>
      </c>
      <c r="I105" t="s">
        <v>701</v>
      </c>
      <c r="J105" t="s">
        <v>270</v>
      </c>
      <c r="K105" t="s">
        <v>270</v>
      </c>
      <c r="L105" t="s">
        <v>255</v>
      </c>
      <c r="M105" t="s">
        <v>230</v>
      </c>
      <c r="N105" t="s">
        <v>95</v>
      </c>
    </row>
    <row r="106" spans="1:15" x14ac:dyDescent="0.3">
      <c r="A106" t="s">
        <v>702</v>
      </c>
      <c r="B106" t="s">
        <v>647</v>
      </c>
      <c r="C106" t="s">
        <v>703</v>
      </c>
      <c r="D106" t="s">
        <v>249</v>
      </c>
      <c r="E106" t="s">
        <v>250</v>
      </c>
      <c r="G106" t="s">
        <v>312</v>
      </c>
      <c r="H106" t="s">
        <v>704</v>
      </c>
      <c r="I106" t="s">
        <v>705</v>
      </c>
      <c r="J106" t="s">
        <v>270</v>
      </c>
      <c r="K106" t="s">
        <v>270</v>
      </c>
      <c r="L106" t="s">
        <v>255</v>
      </c>
      <c r="M106" t="s">
        <v>112</v>
      </c>
      <c r="N106" t="s">
        <v>647</v>
      </c>
    </row>
    <row r="107" spans="1:15" x14ac:dyDescent="0.3">
      <c r="A107" t="s">
        <v>706</v>
      </c>
      <c r="B107" t="s">
        <v>707</v>
      </c>
      <c r="C107" t="s">
        <v>708</v>
      </c>
      <c r="D107" t="s">
        <v>249</v>
      </c>
      <c r="E107" t="s">
        <v>709</v>
      </c>
      <c r="G107" t="s">
        <v>480</v>
      </c>
      <c r="H107" t="s">
        <v>710</v>
      </c>
      <c r="I107" t="s">
        <v>711</v>
      </c>
      <c r="J107" t="s">
        <v>270</v>
      </c>
      <c r="K107" t="s">
        <v>270</v>
      </c>
      <c r="L107" t="s">
        <v>255</v>
      </c>
      <c r="M107" t="s">
        <v>230</v>
      </c>
      <c r="N107" t="s">
        <v>712</v>
      </c>
    </row>
    <row r="108" spans="1:15" x14ac:dyDescent="0.3">
      <c r="A108" t="s">
        <v>572</v>
      </c>
      <c r="B108" t="s">
        <v>61</v>
      </c>
      <c r="C108" t="s">
        <v>703</v>
      </c>
      <c r="D108" t="s">
        <v>249</v>
      </c>
      <c r="E108" t="s">
        <v>713</v>
      </c>
      <c r="G108" t="s">
        <v>252</v>
      </c>
      <c r="H108" t="s">
        <v>714</v>
      </c>
      <c r="I108" t="s">
        <v>715</v>
      </c>
      <c r="J108" t="s">
        <v>270</v>
      </c>
      <c r="K108" t="s">
        <v>270</v>
      </c>
      <c r="L108" t="s">
        <v>255</v>
      </c>
      <c r="M108" t="s">
        <v>112</v>
      </c>
      <c r="N108" t="s">
        <v>61</v>
      </c>
    </row>
    <row r="109" spans="1:15" x14ac:dyDescent="0.3">
      <c r="B109" t="s">
        <v>74</v>
      </c>
      <c r="C109" t="s">
        <v>716</v>
      </c>
      <c r="D109" t="s">
        <v>249</v>
      </c>
      <c r="E109" t="s">
        <v>250</v>
      </c>
      <c r="G109" t="s">
        <v>312</v>
      </c>
      <c r="H109" t="s">
        <v>655</v>
      </c>
      <c r="I109" t="s">
        <v>656</v>
      </c>
      <c r="J109" t="s">
        <v>270</v>
      </c>
      <c r="K109" t="s">
        <v>270</v>
      </c>
      <c r="L109" t="s">
        <v>255</v>
      </c>
      <c r="M109" t="s">
        <v>230</v>
      </c>
      <c r="N109" t="s">
        <v>74</v>
      </c>
    </row>
    <row r="110" spans="1:15" x14ac:dyDescent="0.3">
      <c r="B110" t="s">
        <v>225</v>
      </c>
      <c r="C110" t="s">
        <v>717</v>
      </c>
      <c r="D110" t="s">
        <v>249</v>
      </c>
      <c r="E110" t="s">
        <v>718</v>
      </c>
      <c r="G110" t="s">
        <v>260</v>
      </c>
      <c r="H110" t="s">
        <v>719</v>
      </c>
      <c r="I110" t="s">
        <v>720</v>
      </c>
      <c r="J110" t="s">
        <v>270</v>
      </c>
      <c r="K110" t="s">
        <v>255</v>
      </c>
      <c r="L110" t="s">
        <v>255</v>
      </c>
      <c r="M110" t="s">
        <v>124</v>
      </c>
      <c r="N110" t="s">
        <v>225</v>
      </c>
    </row>
    <row r="111" spans="1:15" x14ac:dyDescent="0.3">
      <c r="A111" t="s">
        <v>721</v>
      </c>
      <c r="B111" t="s">
        <v>722</v>
      </c>
      <c r="C111" t="s">
        <v>723</v>
      </c>
      <c r="D111" t="s">
        <v>249</v>
      </c>
      <c r="E111" t="s">
        <v>674</v>
      </c>
      <c r="G111" t="s">
        <v>312</v>
      </c>
      <c r="H111" t="s">
        <v>325</v>
      </c>
      <c r="I111" t="s">
        <v>724</v>
      </c>
      <c r="J111" t="s">
        <v>270</v>
      </c>
      <c r="K111" t="s">
        <v>270</v>
      </c>
      <c r="L111" t="s">
        <v>255</v>
      </c>
      <c r="M111" t="s">
        <v>230</v>
      </c>
      <c r="N111" t="s">
        <v>722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13bc5f-3bf3-46ce-9576-4b82f126471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5B0B440AD117469137C4797A8A19E7" ma:contentTypeVersion="16" ma:contentTypeDescription="Create a new document." ma:contentTypeScope="" ma:versionID="90b1d8c5165e6bc666dc15bafd6abfba">
  <xsd:schema xmlns:xsd="http://www.w3.org/2001/XMLSchema" xmlns:xs="http://www.w3.org/2001/XMLSchema" xmlns:p="http://schemas.microsoft.com/office/2006/metadata/properties" xmlns:ns3="ec13bc5f-3bf3-46ce-9576-4b82f1264718" xmlns:ns4="82b3080e-faac-40bf-9520-6a7b2629e08d" targetNamespace="http://schemas.microsoft.com/office/2006/metadata/properties" ma:root="true" ma:fieldsID="41ac57599b12832c87324c3aba401c20" ns3:_="" ns4:_="">
    <xsd:import namespace="ec13bc5f-3bf3-46ce-9576-4b82f1264718"/>
    <xsd:import namespace="82b3080e-faac-40bf-9520-6a7b2629e0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bc5f-3bf3-46ce-9576-4b82f12647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3080e-faac-40bf-9520-6a7b2629e08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B36DB9-FA46-4645-8CD9-B2F568BFE9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EA1B56-997C-4011-A24B-FEF6EF68E6A3}">
  <ds:schemaRefs>
    <ds:schemaRef ds:uri="http://purl.org/dc/elements/1.1/"/>
    <ds:schemaRef ds:uri="http://www.w3.org/XML/1998/namespace"/>
    <ds:schemaRef ds:uri="82b3080e-faac-40bf-9520-6a7b2629e08d"/>
    <ds:schemaRef ds:uri="http://schemas.microsoft.com/office/2006/documentManagement/types"/>
    <ds:schemaRef ds:uri="http://purl.org/dc/terms/"/>
    <ds:schemaRef ds:uri="ec13bc5f-3bf3-46ce-9576-4b82f126471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A3B7024-011B-486F-AAB8-9D085D4DE4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13bc5f-3bf3-46ce-9576-4b82f1264718"/>
    <ds:schemaRef ds:uri="82b3080e-faac-40bf-9520-6a7b2629e0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6cb01d-5824-4199-9177-a82623fb5e38}" enabled="0" method="" siteId="{796cb01d-5824-4199-9177-a82623fb5e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🔍 Buscador</vt:lpstr>
      <vt:lpstr>Telefonía</vt:lpstr>
      <vt:lpstr>PC</vt:lpstr>
      <vt:lpstr>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Emilio Droguett</cp:lastModifiedBy>
  <dcterms:created xsi:type="dcterms:W3CDTF">2026-04-12T03:01:25Z</dcterms:created>
  <dcterms:modified xsi:type="dcterms:W3CDTF">2026-05-31T06:09:10Z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0x010100FA5B0B440AD117469137C4797A8A19E7</vt:lpwstr>
  </property>
</Properties>
</file>